
<file path=[Content_Types].xml><?xml version="1.0" encoding="utf-8"?>
<Types xmlns="http://schemas.openxmlformats.org/package/2006/content-types">
  <Default ContentType="application/xml" Extension="xml"/>
  <Default ContentType="application/vnd.openxmlformats-officedocument.obfuscatedFont" Extension="odttf"/>
  <Default ContentType="application/vnd.openxmlformats-package.relationships+xml" Extension="rels"/>
  <Override ContentType="application/vnd.openxmlformats-officedocument.spreadsheetml.worksheet+xml" PartName="/xl/worksheets/sheet4.xml"/>
  <Override ContentType="application/vnd.openxmlformats-officedocument.spreadsheetml.worksheet+xml" PartName="/xl/worksheets/sheet10.xml"/>
  <Override ContentType="application/vnd.openxmlformats-officedocument.spreadsheetml.worksheet+xml" PartName="/xl/worksheets/sheet12.xml"/>
  <Override ContentType="application/vnd.openxmlformats-officedocument.spreadsheetml.worksheet+xml" PartName="/xl/worksheets/sheet15.xml"/>
  <Override ContentType="application/vnd.openxmlformats-officedocument.spreadsheetml.worksheet+xml" PartName="/xl/worksheets/sheet2.xml"/>
  <Override ContentType="application/vnd.openxmlformats-officedocument.spreadsheetml.worksheet+xml" PartName="/xl/worksheets/sheet6.xml"/>
  <Override ContentType="application/vnd.openxmlformats-officedocument.spreadsheetml.worksheet+xml" PartName="/xl/worksheets/sheet8.xml"/>
  <Override ContentType="application/vnd.openxmlformats-officedocument.spreadsheetml.worksheet+xml" PartName="/xl/worksheets/sheet5.xml"/>
  <Override ContentType="application/vnd.openxmlformats-officedocument.spreadsheetml.worksheet+xml" PartName="/xl/worksheets/sheet11.xml"/>
  <Override ContentType="application/vnd.openxmlformats-officedocument.spreadsheetml.worksheet+xml" PartName="/xl/worksheets/sheet14.xml"/>
  <Override ContentType="application/vnd.openxmlformats-officedocument.spreadsheetml.worksheet+xml" PartName="/xl/worksheets/sheet13.xml"/>
  <Override ContentType="application/vnd.openxmlformats-officedocument.spreadsheetml.worksheet+xml" PartName="/xl/worksheets/sheet1.xml"/>
  <Override ContentType="application/vnd.openxmlformats-officedocument.spreadsheetml.worksheet+xml" PartName="/xl/worksheets/sheet3.xml"/>
  <Override ContentType="application/vnd.openxmlformats-officedocument.spreadsheetml.worksheet+xml" PartName="/xl/worksheets/sheet9.xml"/>
  <Override ContentType="application/vnd.openxmlformats-officedocument.spreadsheetml.worksheet+xml" PartName="/xl/worksheets/sheet7.xml"/>
  <Override ContentType="application/binary" PartName="/xl/metadata"/>
  <Override ContentType="application/vnd.openxmlformats-officedocument.spreadsheetml.sharedStrings+xml" PartName="/xl/sharedStrings.xml"/>
  <Override ContentType="application/vnd.openxmlformats-officedocument.drawing+xml" PartName="/xl/drawings/drawing4.xml"/>
  <Override ContentType="application/vnd.openxmlformats-officedocument.drawing+xml" PartName="/xl/drawings/drawing10.xml"/>
  <Override ContentType="application/vnd.openxmlformats-officedocument.drawing+xml" PartName="/xl/drawings/drawing9.xml"/>
  <Override ContentType="application/vnd.openxmlformats-officedocument.drawing+xml" PartName="/xl/drawings/drawing13.xml"/>
  <Override ContentType="application/vnd.openxmlformats-officedocument.drawing+xml" PartName="/xl/drawings/drawing6.xml"/>
  <Override ContentType="application/vnd.openxmlformats-officedocument.drawing+xml" PartName="/xl/drawings/drawing15.xml"/>
  <Override ContentType="application/vnd.openxmlformats-officedocument.drawing+xml" PartName="/xl/drawings/drawing1.xml"/>
  <Override ContentType="application/vnd.openxmlformats-officedocument.drawing+xml" PartName="/xl/drawings/drawing12.xml"/>
  <Override ContentType="application/vnd.openxmlformats-officedocument.drawing+xml" PartName="/xl/drawings/drawing8.xml"/>
  <Override ContentType="application/vnd.openxmlformats-officedocument.drawing+xml" PartName="/xl/drawings/drawing3.xml"/>
  <Override ContentType="application/vnd.openxmlformats-officedocument.drawing+xml" PartName="/xl/drawings/drawing14.xml"/>
  <Override ContentType="application/vnd.openxmlformats-officedocument.drawing+xml" PartName="/xl/drawings/drawing5.xml"/>
  <Override ContentType="application/vnd.openxmlformats-officedocument.drawing+xml" PartName="/xl/drawings/drawing7.xml"/>
  <Override ContentType="application/vnd.openxmlformats-officedocument.drawing+xml" PartName="/xl/drawings/drawing2.xml"/>
  <Override ContentType="application/vnd.openxmlformats-officedocument.drawing+xml" PartName="/xl/drawings/drawing11.xml"/>
  <Override ContentType="application/vnd.ms-excel.sheet.macroEnabled.main+xml" PartName="/xl/workbook.xml"/>
  <Override ContentType="application/vnd.openxmlformats-officedocument.spreadsheetml.styles+xml" PartName="/xl/styles.xml"/>
  <Override ContentType="application/vnd.openxmlformats-officedocument.theme+xml" PartName="/xl/theme/theme1.xml"/>
</Types>
</file>

<file path=_rels/.rels><?xml version="1.0" encoding="UTF-8" standalone="yes"?><Relationships xmlns="http://schemas.openxmlformats.org/package/2006/relationships"><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workbookPr/>
  <sheets>
    <sheet state="visible" name="Read Me" sheetId="1" r:id="rId4"/>
    <sheet state="visible" name="Instructions" sheetId="2" r:id="rId5"/>
    <sheet state="visible" name="VENDOR_INFO" sheetId="3" r:id="rId6"/>
    <sheet state="visible" name="DIM1_Pipeline_Integrity" sheetId="4" r:id="rId7"/>
    <sheet state="visible" name="DIM2_AI_BOM" sheetId="5" r:id="rId8"/>
    <sheet state="visible" name="DIM3_Adversarial_Robustness" sheetId="6" r:id="rId9"/>
    <sheet state="visible" name="DIM3_KQP_HW_PROXY" sheetId="7" r:id="rId10"/>
    <sheet state="visible" name="DIM4_Incident_Response" sheetId="8" r:id="rId11"/>
    <sheet state="visible" name="DIM5_FourthParty" sheetId="9" r:id="rId12"/>
    <sheet state="visible" name="QUALIFICATION" sheetId="10" r:id="rId13"/>
    <sheet state="visible" name="ASCR01_FEED" sheetId="11" r:id="rId14"/>
    <sheet state="visible" name="QUALIFICATION_RECORD" sheetId="12" r:id="rId15"/>
    <sheet state="visible" name="Checklist_Guide" sheetId="13" r:id="rId16"/>
    <sheet state="visible" name="TKQ_Thresholds" sheetId="14" r:id="rId17"/>
    <sheet state="visible" name="DIM3_EDGE_HW" sheetId="15" r:id="rId18"/>
  </sheets>
  <definedNames/>
  <calcPr/>
  <extLst>
    <ext uri="GoogleSheetsCustomDataVersion2">
      <go:sheetsCustomData xmlns:go="http://customooxmlschemas.google.com/" r:id="rId19" roundtripDataChecksum="rXIctbg+Op2/88etZY2GAAG2BffNQL3XQS1WH8HNnKc="/>
    </ext>
  </extLst>
</workbook>
</file>

<file path=xl/sharedStrings.xml><?xml version="1.0" encoding="utf-8"?>
<sst xmlns="http://schemas.openxmlformats.org/spreadsheetml/2006/main" count="509" uniqueCount="401">
  <si>
    <t>ASCR-17-OE01-Vendor-Assessment-Workbook.xlsx</t>
  </si>
  <si>
    <t>VENDOR ASSESSMENT INFORMATION</t>
  </si>
  <si>
    <t>Dimension 1: Model Development Pipeline Integrity</t>
  </si>
  <si>
    <t>Version 1.0 — June 2026 | Companion document to ASCR-17 Section 7</t>
  </si>
  <si>
    <t>File ID</t>
  </si>
  <si>
    <t>Vendor Name</t>
  </si>
  <si>
    <t>Sub-Dim ID</t>
  </si>
  <si>
    <t>How to use this workbook</t>
  </si>
  <si>
    <t>Vendor Category (allowed values: Foundation Model Provider; Orchestration Platform / MCP Server; Tool Library / Data Integration Partner; Edge Inference Hardware; Command Authentication Proxy Hardware)</t>
  </si>
  <si>
    <t>Pre-use gate: complete the main ASCR-17 "What you must define before use" checklist before entering assessment scores. Record applicable deployment-specific values in VENDOR_INFO, the selected Dimension tabs, TKQ_Thresholds where applicable, and the qualification/evidence records required for the assessment.
1. Complete one workbook per vendor component / Dimension 3 track assessment. If a vendor supplies material components spanning more than one of the Standard, KQP, or EDGE tracks, use separate workbook/qualification records per track, or an equivalently controlled implementation that preserves separate track scores and evidence.</t>
  </si>
  <si>
    <t>2. Enter vendor information in the VENDOR_INFO tab.</t>
  </si>
  <si>
    <t>3. Work through Dimensions 1 through 5 and select the applicable Dimension 3 track: Standard, KQP, or EDGE.</t>
  </si>
  <si>
    <t>4. Enter sub-dimension scores (1-4, N/A, or CF only where a Critical Failure trigger is defined) in the Score cells.</t>
  </si>
  <si>
    <t>5. The QUALIFICATION tab auto-calculates the determination per the current Section 7.2 logic.</t>
  </si>
  <si>
    <t>Evidence Requirement</t>
  </si>
  <si>
    <t>6. The ASCR01_FEED tab generates the ASCR-01 evidence-linkage map. It does not overwrite ASCR-01 question scores, calculate Cluster Score deductions, or impose Cluster Score caps.</t>
  </si>
  <si>
    <t>7. The QUALIFICATION_RECORD tab pre-populates the signed ASCR-17 vendor qualification record from your scores. Where the executed ASCR-11 agreement requires vendor-qualification evidence, retain the contract or governed evidence reference with the signed record.</t>
  </si>
  <si>
    <t>Score (1-4 or CF)</t>
  </si>
  <si>
    <t>Vendor Tier (1 / 2 / 3)</t>
  </si>
  <si>
    <t>Calendar control: this workbook does not monitor remediation milestone dates or automatically change a CQ determination when time passes. The ASCR-11 contract owner / ASCR-12 monitoring process must identify a confirmed missed milestone and record the required Disqualified status change through the ASCR-17 triggered-reassessment/governance process.</t>
  </si>
  <si>
    <t>Critical Failure?</t>
  </si>
  <si>
    <t>Scoring scale</t>
  </si>
  <si>
    <t>Evidence Notes / Findings</t>
  </si>
  <si>
    <t>4 — Exceeds: Evidence exceeds mandatory requirements.</t>
  </si>
  <si>
    <t>Remediation Required (if score &lt; 3)</t>
  </si>
  <si>
    <t>Component(s) Being Assessed</t>
  </si>
  <si>
    <t>3 — Satisfies: Evidence fully satisfies mandatory requirements for tier.</t>
  </si>
  <si>
    <t>2 — Partially Satisfies: Gap identified; remediation timeline required.</t>
  </si>
  <si>
    <t>Evidence Type (Objective / Attestation)</t>
  </si>
  <si>
    <t>Format</t>
  </si>
  <si>
    <t>Assessment Date</t>
  </si>
  <si>
    <t>.xlsx</t>
  </si>
  <si>
    <t>Lead Assessor Name and Role</t>
  </si>
  <si>
    <t>CF Trigger</t>
  </si>
  <si>
    <t>Version</t>
  </si>
  <si>
    <t>ASCR-01 Assessment Reference / Version (if available)</t>
  </si>
  <si>
    <t>1.0 — June 2026</t>
  </si>
  <si>
    <t>ASCR-11 Contract Owner</t>
  </si>
  <si>
    <t>Consolidates</t>
  </si>
  <si>
    <t>Previous Qualification Determination (if reassessment)</t>
  </si>
  <si>
    <t>SD-1.1</t>
  </si>
  <si>
    <t>Not applicable; single operational-extension workbook</t>
  </si>
  <si>
    <t>Previous Assessment Date (if reassessment)</t>
  </si>
  <si>
    <t>Scope</t>
  </si>
  <si>
    <t>Assessment Type / Trigger (Scheduled Reassessment / New Vendor / Triggered Event)</t>
  </si>
  <si>
    <t>Assessment-execution workbook for ASCR-17 vendor evidence collection, sub-dimension scoring, qualification determination, ASCR-01 evidence linkage, signed ASCR-17 vendor qualification-record preparation, and ASCR-11 contractual-evidence linkage where applicable.</t>
  </si>
  <si>
    <t>Build Pipeline Access Control: MFA on all pipeline write access; access review records (12 months); separation of duties for training/fine-tuning/signing.</t>
  </si>
  <si>
    <t>Precedence</t>
  </si>
  <si>
    <t>ASCR-17-Agentic-Vendor-Security-Assessment-Resource.docx governs. Where older book examples differ from this Version 1.0 downloadable, the current ASCR-17 downloadable governs operational mechanics for this artifact. TKQ_Thresholds must be verified against the current ASCR-04 thresholds, and ASCR01_FEED against the current ASCR-01 evidence-linkage structure.</t>
  </si>
  <si>
    <t>1 — Does Not Satisfy: Evidence absent or confirms requirement not met.</t>
  </si>
  <si>
    <t>Relationship to sibling OE files</t>
  </si>
  <si>
    <t>Triggered Event Description (if applicable)</t>
  </si>
  <si>
    <t>ASCR-17-OE02-Operational-Companion.docx supplies the assessment execution guide, Dimension 4 tabletop scenarios, vendor notification templates, and ASCR-01 evidence-linkage procedure used with this workbook.</t>
  </si>
  <si>
    <t>Worksheets</t>
  </si>
  <si>
    <t>CF — Critical Failure: Overrides all other scores; auto-Disqualified.</t>
  </si>
  <si>
    <t>Dimension 3 Track (Standard = Adversarial Robustness; KQP = Command Authentication Proxy Hardware; EDGE = Edge Inference Hardware)</t>
  </si>
  <si>
    <t>Read Me; 00_Instructions; VENDOR_INFO; DIM1_Pipeline_Integrity; DIM2_AI_BOM; DIM3_Adversarial_Robustness; DIM3_KQP_HW_PROXY; DIM4_Incident_Response; DIM5_FourthParty; QUALIFICATION; ASCR01_FEED; QUALIFICATION_RECORD; Checklist_Guide; TKQ_Thresholds; DIM3_EDGE_HW</t>
  </si>
  <si>
    <t>Change control</t>
  </si>
  <si>
    <t>Version 1.0 — June 2026. Re-verify ASCR-04 thresholds, ASCR-01 mappings, current MITRE ATLAS identifiers, and external standards at the start of each assessment.</t>
  </si>
  <si>
    <t>Scope limitation</t>
  </si>
  <si>
    <t>This workbook structures evidence collection and qualification logic. It does not itself enforce vendor controls, validate deployed runtime behavior, or replace procurement, GRC, security, OT, legal, or operational tooling.</t>
  </si>
  <si>
    <t>Critical failure note</t>
  </si>
  <si>
    <t>Standard</t>
  </si>
  <si>
    <t>Enter CF only in a Score cell whose CF Trigger column defines a Critical Failure threshold; a valid CF entry triggers the automatic Disqualified determination.</t>
  </si>
  <si>
    <t>CF overrides dimension averages and the aggregate matrix regardless of other scores.</t>
  </si>
  <si>
    <t>Dimension 3 track</t>
  </si>
  <si>
    <t>Set VENDOR_INFO Dimension 3 Track to Standard for model/software vendors, KQP for command-authentication-proxy hardware, or EDGE for edge inference hardware.</t>
  </si>
  <si>
    <t>Only the selected Dimension 3 track contributes to QUALIFICATION.</t>
  </si>
  <si>
    <t>Reference tabs</t>
  </si>
  <si>
    <t>Checklist_Guide — AI-BOM review field guide (evidence classification and score mapping).</t>
  </si>
  <si>
    <t>TKQ_Thresholds — deployment-approved TKQ P99.9/P99.99 threshold and commissioning/statistical-validation evidence capture for KQP-1, plus supporting tamper-response, HSM, and safeguard-positioning references.</t>
  </si>
  <si>
    <t>Scope, precedence, and change control</t>
  </si>
  <si>
    <t>Scope: this workbook is the assessment-execution tool for ASCR-17. It records evidence and sub-dimension scores, derives qualification, produces ASCR-01 evidence linkage, and pre-populates the signed ASCR-17 vendor qualification record for contractual and governance use.</t>
  </si>
  <si>
    <t>Precedence: the main ASCR-17 document governs. TKQ_Thresholds is verified against the current ASCR-04 thresholds. ASCR01_FEED is verified against the current ASCR-01 question ownership and evidence-linkage structure; ASCR-17 never directly writes ASCR-01 Raw Scores or Cluster Scores.</t>
  </si>
  <si>
    <t>Change control: Version 1.0 — June 2026 applies to this workbook. Re-verify ASCR-04 thresholds, ASCR-01 mappings, current MITRE ATLAS identifiers, and external standards at the start of each assessment.</t>
  </si>
  <si>
    <t>Operational precedence and currency: where older book examples differ from the current downloadable, this Version 1.0 ASCR-17 workbook and the main ASCR-17 document govern the operational mechanics of this artifact. Current ASCR-17 uses equal weighting across applicable dimensions, the ordered qualification logic in ASCR-17 Section 7.2, and ASCR-01 evidence linkage without direct Raw Score overwrite, Cluster Score deduction, or Cluster Score caps. Chapter 5 remains serialization-version neutral; ASCR-17 Version 1.0 accepts SPDX 3.0 AI/Dataset profiles or CycloneDX 1.6 AI/ML-BOM as its operational machine-readable AI-BOM profile.</t>
  </si>
  <si>
    <t>ATLAS currency: direct post-training weight manipulation is treated as direct model manipulation (AML.T0018.000); use current agent-tool/data-poisoning techniques when the factual attack path supports them.</t>
  </si>
  <si>
    <t>No MFA on pipeline write; no access review; single individual holds training+signing authority</t>
  </si>
  <si>
    <t>Objective: access-control architecture, IdP policy export/config screenshot showing MFA on pipeline-write group, and access-review records</t>
  </si>
  <si>
    <t>No MFA on pipeline write; no access review; single individual holds training + signing authority</t>
  </si>
  <si>
    <t>SD-1.2</t>
  </si>
  <si>
    <t>Dependency Chain Integrity: hash-verified dependency inventory at the depth required by ASCR-17 Section 1.2 for the assessed vendor tier and component scope; Tier 1, and lower-tier assessments explicitly elevated to Tier 1 depth, require at least three transitive levels. Continuous vulnerability scanning and an authorized dependency-update process are required at the applicable assessment depth.</t>
  </si>
  <si>
    <t>Dependency inventory does not meet the assessed vendor tier's required depth; no hash verification; or no dependency update authorization process.</t>
  </si>
  <si>
    <t>Objective: inventory with hash records, scan logs, SLA documentation</t>
  </si>
  <si>
    <t>Tier 1, or lower-tier assessment explicitly elevated to Tier 1 dependency depth: required transitive inventory absent; dependency updates not hash-verified; or no update-authorization process. Ordinary Tier 2 and Tier 3 assessments: score dependency-depth shortfalls against the applicable ASCR-17 Section 1.2 requirement; failure to meet Tier 1 depth alone is not a Critical Failure.</t>
  </si>
  <si>
    <t>SD-1.3</t>
  </si>
  <si>
    <t>Artifact Signing and Provenance: signing key isolated from training infrastructure; key management documented; revocation process with maximum propagation time; capability to provide verifiable signed-artifact and provenance inputs required by the deployment's ASCR-16 lineage-token process.</t>
  </si>
  <si>
    <t>Signing key accessible from training infrastructure; no key-management process; cannot provide verifiable signed-artifact/provenance inputs required by ASCR-16</t>
  </si>
  <si>
    <t>Objective: key-management policy, HSM/key-isolation evidence, revocation procedure, signed artifact/provenance sample and verifier output; if the vendor contractually operates ASCR-16 EP-17, a lineage-token sample or controlled generation demonstration is acceptable</t>
  </si>
  <si>
    <t>SD-1.4</t>
  </si>
  <si>
    <t>Behavioral Testing for Trigger-Conditional Modifications: independent adversarial methodology; differential behavioral analysis; vendor-native objective-state and behavioral-change indicators mapped to ASCR-07 goal_hash / plan_delta_summary semantics, or those ASCR fields where already supported.</t>
  </si>
  <si>
    <t>No adversarial behavioral testing beyond standard benchmarks; no trigger-conditional detection coverage</t>
  </si>
  <si>
    <t>Objective: independent third-party red-team report, published peer-reviewed adversarial evaluation, or legally applicable conformity-assessment evidence, with trigger-conditional methodology; vendor-authored marketing or benchmark material alone is insufficient.</t>
  </si>
  <si>
    <t>No adversarial behavioral testing beyond standard benchmarks; no trigger-conditional coverage</t>
  </si>
  <si>
    <t>SD-1.5</t>
  </si>
  <si>
    <t>Incident History and Disclosure: all supply chain incidents (36 months); CVE history; adversarial vuln disclosure policy; deployer notification process.</t>
  </si>
  <si>
    <t>Known incident not disclosed; no adversarial vuln disclosure policy; no deployer notification process</t>
  </si>
  <si>
    <t>Objective: incident list, CVE records, written policy, notification-process docs</t>
  </si>
  <si>
    <t>Known incident not disclosed; no adversarial vulnerability disclosure policy</t>
  </si>
  <si>
    <t>SD-1.6</t>
  </si>
  <si>
    <t>Model Change and Version Notification: advance notice of material model/checkpoint/serving-config changes; controlled version selection/pinning where feasible; rollback window; deprecation notice; change record.</t>
  </si>
  <si>
    <t>No controlled version selection/pinning or material-change notice for a Tier 1 physical-actuation deployment</t>
  </si>
  <si>
    <t>Objective: model/version change policy, version-control or pinning demo, rollback/deprecation records, prior change notices</t>
  </si>
  <si>
    <t>Tier 1 physical-actuation deployment: inability to control the deployed model version or obtain notice of material behavior-affecting changes</t>
  </si>
  <si>
    <t>DIMENSION AVERAGE</t>
  </si>
  <si>
    <t>Dimension Applicable? (Y/N)</t>
  </si>
  <si>
    <t>Y</t>
  </si>
  <si>
    <t>N/A rationale (required when N; enter in adjacent F cell)</t>
  </si>
  <si>
    <t>Dimension 2: AI-BOM Completeness and Currency</t>
  </si>
  <si>
    <t>Dimension 3: Adversarial Robustness Evidence</t>
  </si>
  <si>
    <t>Dimension 3 (KQP): Command Authentication Proxy Hardware Only</t>
  </si>
  <si>
    <t>DIM2-1</t>
  </si>
  <si>
    <t>Model Artifact Identity: machine-readable AI-BOM in SPDX 3.0 AI/Dataset profiles or CycloneDX 1.6 AI/ML-BOM; cryptographic hash; safe serialization; unambiguous version; model card/capability boundaries; provenance and lawful-acquisition/licensing evidence; applicable EU AI Act Art.53(1)(c)-(d) evidence.</t>
  </si>
  <si>
    <t>DIM3-ATLAS</t>
  </si>
  <si>
    <t>KQP-1</t>
  </si>
  <si>
    <t>MITRE ATLAS Coverage: current coverage matrix including applicable evasion; training-data poisoning (AML.T0020 where training data is actually manipulated); direct model manipulation including AML.T0018.000 for weight changes; ML/AI supply-chain compromise including relevant AML.T0010 sub-techniques; and current agent-tool/data-poisoning techniques where applicable.</t>
  </si>
  <si>
    <t>TKQ Performance Evidence: laboratory and commissioning TKQ measurements for each declared governed asset class under nominal operating temperature, maximum rated command queue depth, and the P99 network-latency stress condition; demonstrate the applicable deployment-approved P99.9 TKQ threshold and, for High or Critical physical-consequence deployments, the applicable P99.99 TKQ threshold. Thresholds and claimed percentiles must resolve to current ASCR-04, ASCR-10 commissioning evidence, and the ASCR-11 Section 11.3.1.1 statistical-validation record.</t>
  </si>
  <si>
    <t>No cryptographic hash or version ID; unsafe serialization; missing capability boundary; missing provenance/licensing evidence; or, where applicable, missing EU AI Act Article 53(1)(c) copyright/TDM policy or Article 53(1)(d) training-content summary</t>
  </si>
  <si>
    <t>Objective: AI-BOM file, model card, hash/serialization evidence, provenance/licensing records, applicable Art.53 copyright/TDM and training-content artifacts</t>
  </si>
  <si>
    <t>No CF defined for this sub-dimension; score completeness and verifiability</t>
  </si>
  <si>
    <t>DIM2-2</t>
  </si>
  <si>
    <t>System Prompt and Configuration Identity: version-controlled system prompt templates; hash verification per config artifact; authorization records for config changes.</t>
  </si>
  <si>
    <t>TKQ data absent for any declared governed asset class; P99.9 exceeds the applicable deployment-approved threshold; required P99.99 threshold not demonstrated for High/Critical deployment; required test conditions incomplete; or commissioning/statistical-validation evidence is absent or non-resolvable</t>
  </si>
  <si>
    <t>Objective: laboratory/commissioning test report with methodology and required operating conditions; P99.9 result per declared asset class; P99.99 result where High/Critical applies; current ASCR-04 threshold reference; ASCR-10 commissioning-evidence reference; ASCR-11 Section 11.3.1.1 statistical-validation-plan/record reference</t>
  </si>
  <si>
    <t>No version control for system prompts; no hash verification of config artifacts</t>
  </si>
  <si>
    <t>TKQ data absent for any declared governed asset class; demonstrated P99.9 exceeds the applicable deployment-approved ASCR-04 threshold; required P99.99 threshold is not demonstrated for a High/Critical deployment; required test conditions are incomplete; or the claimed percentile lacks the required commissioning/statistical-validation evidence</t>
  </si>
  <si>
    <t>Objective: version-control records, hash manifest, change-authorization log</t>
  </si>
  <si>
    <t>KQP-2</t>
  </si>
  <si>
    <t>No standalone CF defined for this sub-dimension; score the capability under the 1-4 scale. A score of 1 still triggers the Disqualified pathway under Section 7.2.</t>
  </si>
  <si>
    <t>No MITRE ATLAS adversarial evaluation; no coverage matrix</t>
  </si>
  <si>
    <t>Tamper-Detection Circuit Certification: third-party evidence against deployment-specific tolerable response time; ASCR-05 defaults 50 ms standard / 20 ms high-velocity. Derive deployment-specific relationship using ISO 12100 hazard ID, ISO 13849-1 Annex A PLr, and ISO 13855 safeguard positioning/response time.</t>
  </si>
  <si>
    <t>DIM2-3</t>
  </si>
  <si>
    <t>Retrieval Corpus and Data Integration: complete documentation of static sources and dynamic pipelines; verifiable runtime payload integrity/provenance using vendor signatures or integration hooks that allow the deploying organization's ASCR-07/ASCR-16 boundary controls to create and verify the required cryptographic integrity record; access-control policies.</t>
  </si>
  <si>
    <t>Objective: coverage matrix, red-team reports, test-methodology documentation</t>
  </si>
  <si>
    <t>Critical Failure only when no deployment-relevant adversarial evaluation exists. A missing or incomplete ATLAS coverage matrix alone is scored under the 1-4 scale and is not a standalone CF.</t>
  </si>
  <si>
    <t>Cannot support verifiable payload integrity/provenance; data sources documented only at provider/category level or lack usable integration evidence</t>
  </si>
  <si>
    <t>DIM3-VLA</t>
  </si>
  <si>
    <t>Objective: corpus inventory, payload-integrity/provenance evidence or integration demonstration, source/version metadata, access-control policy</t>
  </si>
  <si>
    <t>No third-party test evidence; response time exceeds the deployment-specific threshold; software-only implementation</t>
  </si>
  <si>
    <t>Physical-World Perception Testing (VLA models only): adversarial patches, LiDAR spoofing, thermal manipulation, occlusion; applicable EU AI Act Art.15(5) cybersecurity-resilience evidence and Art.43 conformity evidence where legally applicable/available.</t>
  </si>
  <si>
    <t>Objective: third-party lab test certificate and response-time distribution data</t>
  </si>
  <si>
    <t>DIM2-4</t>
  </si>
  <si>
    <t>No third-party test evidence; demonstrated response time exceeds the documented deployment-specific tolerable response time; software-only implementation.</t>
  </si>
  <si>
    <t>Tool Library and Capability Inventory: complete MCP-exposed tool inventory; permission documentation; external system access per tool; scope restriction capability.</t>
  </si>
  <si>
    <t>KQP-3</t>
  </si>
  <si>
    <t>HSM Certification: FIPS 140-3 Level 3 (or equivalent) with scope covering KQP signing operations; Ed25519 or ECDSA P-256 by ASCR policy; no software-accessible key storage. RSA-2048 requires an explicit ASCR-11 deviation; plan ML-DSA (FIPS 204) migration where practical.</t>
  </si>
  <si>
    <t>Cannot enumerate tool invocation surface; no scope restriction capability</t>
  </si>
  <si>
    <t>No physical-world perception testing for an applicable VLA model. Absence of Art.15(5)/43 conformity documentation alone is not a CF where not legally applicable/available.</t>
  </si>
  <si>
    <t>Objective: tool inventory, permission docs, scope-restriction demo</t>
  </si>
  <si>
    <t>Objective: physical-world adversarial test report and deployment-condition coverage; independent third-party robustness test; applicable Art.15(5)/43 conformity evidence may support score 4</t>
  </si>
  <si>
    <t>VLA only: no physical-world perception testing. Conformity documentation alone is not a CF trigger.</t>
  </si>
  <si>
    <t>DIM2-TD</t>
  </si>
  <si>
    <t>No FIPS 140-3 Level 3 cert; signing key in software-accessible memory; cert scope excludes KQP signing ops</t>
  </si>
  <si>
    <t>DIM3-OBJ</t>
  </si>
  <si>
    <t>Transitive Dependency Disclosure: Tier 1 - fully enumerate dependencies involved in cryptographic signing, network communications, and memory management and provide at least three levels for other toolchain components; Tier 2 - provide the material dependency inventory required by Section 1.2; Tier 3 - provide the primary dependency/component inventory unless scope is explicitly elevated.</t>
  </si>
  <si>
    <t>Objective: FIPS 140-3 certificate with scope documentation, algorithm documentation</t>
  </si>
  <si>
    <t>Objective Stability Testing: adversarial context inputs from the ASCR-15 Supply Chain adversary profile; vendor-native objective-state and behavioral-change distributions mapped to ASCR-07 goal_hash / plan_delta_summary semantics; deployment-specific divergence and alert criteria.</t>
  </si>
  <si>
    <t>KQP-4</t>
  </si>
  <si>
    <t>Firmware Update Notification Process: minimum 14-day advance notice before PCR-altering firmware changes; documented notification mechanism and escalation path.</t>
  </si>
  <si>
    <t>AI-BOM covers only direct deps; no transitive inventory</t>
  </si>
  <si>
    <t>Objective: dependency graph with critical-function full enumeration; 3-level minimum verified for all others</t>
  </si>
  <si>
    <t>Tier 1, or lower tier explicitly elevated to Tier 1 transitive-depth requirements: only direct dependencies covered; required transitive inventory unavailable; or critical compilation-toolchain dependencies cannot be identified. Tier 2/3 not elevated: score shortfalls against tier requirements; no automatic CF solely for not meeting Tier 1 depth.</t>
  </si>
  <si>
    <t>DIM2-DATA</t>
  </si>
  <si>
    <t>No documented process; process does not guarantee 14-day advance notice</t>
  </si>
  <si>
    <t>Objective: written process documentation; evidence of prior notifications if applicable</t>
  </si>
  <si>
    <t>Customer Data Use and Fine-Tuning Rights: disclosure/control of customer operational, OT, telemetry, prompt, context, and incident data used for training, fine-tuning, evaluation, retrieval enrichment, or product improvement; retention/deletion; derived adapters/embeddings; opt-in/out or prohibition.</t>
  </si>
  <si>
    <t>Significant failure threshold, not a standalone CF: score under the 1-4 scale. A score of 1 still triggers the Disqualified pathway under Section 7.2.</t>
  </si>
  <si>
    <t>KQP-5</t>
  </si>
  <si>
    <t>Phase Isolation Architecture: Phase 1 (command blocking) and Phase 4 (cryptographic purge) on isolated hardware paths or strictly partitioned RTOS; FMEA confirming Phase 4 failure cannot suppress Phase 1.</t>
  </si>
  <si>
    <t>Required customer-data exclusion cannot be enforced, or vendor cannot state/contractually control permitted training and improvement uses</t>
  </si>
  <si>
    <t>Objective: data-use terms, DPA/contract controls, training/fine-tuning configuration, retention/deletion evidence, adapter/embedding ownership terms</t>
  </si>
  <si>
    <t>Tier 1 only where the deploying organization requires exclusion: inability to enforce exclusion of customer OT/operational data from training or model improvement</t>
  </si>
  <si>
    <t>No architecture documentation; FMEA absent; shared execution context confirmed</t>
  </si>
  <si>
    <t>Objective: architecture documentation, FMEA or equivalent failure-analysis report</t>
  </si>
  <si>
    <t>No objective stability testing; cannot provide behavioral output distributions under adversarial context</t>
  </si>
  <si>
    <t>Objective: test report with mapped vendor-native distributions, documented threshold/acceptance criteria, statistical-method documentation, and deployment comparison results</t>
  </si>
  <si>
    <t>DIM3-GUARD</t>
  </si>
  <si>
    <t>Autonomy Level and Vendor Guardrails: per-tool authorization/approval; refusal/safety policy evidence; fail-open/fail-closed behavior; rate/blast-radius constraints; ability to disable sub-agents/runtime tools.</t>
  </si>
  <si>
    <t>Guardrail controls are incomplete, untested, or fail open on consequential tool paths</t>
  </si>
  <si>
    <t>Objective: tool authorization policy/config, guardrail test results, rate/blast-radius configuration, sub-agent/tool disablement demo</t>
  </si>
  <si>
    <t>Fail-open guardrail on a path with physical actuation authority</t>
  </si>
  <si>
    <t>DIM3-DRIFT</t>
  </si>
  <si>
    <t>Production Behavioral Drift Monitoring and Notification: for provider-hosted Tier 1 models, production behavioral-drift monitoring, defined material-drift thresholds, and a deployer-notification process; for self-hosted models, substitute evidence such as telemetry hooks, behavioral baselines/evaluation packages, and documented ASCR-07/ASCR-10 monitoring integration.</t>
  </si>
  <si>
    <t>No effective provider-hosted monitoring/notification, or no usable self-hosted substitute evidence</t>
  </si>
  <si>
    <t>Objective: drift methodology, thresholds, alert/notice records, monitoring screenshots/exports, or self-hosted telemetry/evaluation integration package</t>
  </si>
  <si>
    <t>Provider-hosted Tier 1 model: no effective production behavioral-drift monitoring and deployer-notification capability</t>
  </si>
  <si>
    <t>Dimension 4: Incident Response and Forensic Cooperation</t>
  </si>
  <si>
    <t>DIM4-FEP</t>
  </si>
  <si>
    <t>Forensic Evidence Production: ASCR contractual 2-hour incident-notification target and 6-hour initial evidence window; deployed model/software/firmware/hardware identity and integrity records; applicable development/build/update logs; dependency/supplier integrity records; and behavioral, attestation, command, or equivalent component baselines.</t>
  </si>
  <si>
    <t>Cannot produce identity/hash records for deployed versions or equivalent component integrity records</t>
  </si>
  <si>
    <t>Objective: tabletop where required by ASCR-17 Section 1.2; otherwise process documentation and prior incident records as applicable</t>
  </si>
  <si>
    <t>Tier 1, or lower tier explicitly elevated to Tier 1 incident-response depth: cannot produce required identity/version/integrity records for deployed components or equivalent component records. Ordinary Tier 2/3: score deficiencies under the 1-4 scale unless another explicit CF applies.</t>
  </si>
  <si>
    <t>DIM4-ATLAS</t>
  </si>
  <si>
    <t>MITRE ATLAS Incident Classification: internal capability or documented external ML-threat-intelligence route to map observed model/agent anomalies to current ATLAS techniques with reasoning.</t>
  </si>
  <si>
    <t>No IR team with MITRE ATLAS proficiency; cannot produce ASCR-08 Section 4.2 Vendor Incident Report format</t>
  </si>
  <si>
    <t>Objective: tabletop ATLAS-mapping exercise where required by ASCR-17 Section 1.2, or documented incident-classification exercise/prior report; evidence of a competent external route is acceptable</t>
  </si>
  <si>
    <t>Tier 1, or lower tier explicitly elevated to Tier 1 incident-response depth: cannot map an observed anomaly to any applicable technique taxonomy and no competent external ML-threat-intelligence route exists. Ordinary Tier 2/3: score deficiencies under the 1-4 scale unless another explicit CF applies.</t>
  </si>
  <si>
    <t>DIM4-NOTIF</t>
  </si>
  <si>
    <t>Notification Process Capability: separate incident and vulnerability paths. Confirmed incident target &lt;=2h; 2-6h is a scored deficiency; vulnerability notice follows contractually defined business-day window or faster applicable requirement.</t>
  </si>
  <si>
    <t>Confirmed-incident notification later than 2h but within 6h is deficient; process must preserve deployer reporting time.</t>
  </si>
  <si>
    <t>Objective: written notification process, max-timeline documentation</t>
  </si>
  <si>
    <t>Tier 1, or lower tier explicitly elevated to Tier 1 incident-response depth: confirmed-incident notification/evidence process cannot operate within the maximum 6-hour operational window. Ordinary Tier 2/3: score deficiencies under the 1-4 scale unless another explicit CF applies.</t>
  </si>
  <si>
    <t>DIM4-LOG</t>
  </si>
  <si>
    <t>Agent/Component Action Logging and Customer Access: incident-relevant event/action schema; tamper evidence; customer-controlled export/API/SIEM access; retention; post-termination export.</t>
  </si>
  <si>
    <t>Dimension 5: Fourth-Party Supply Chain Visibility</t>
  </si>
  <si>
    <t>Vendor-only records, partial schema, material delay, or no usable customer export path</t>
  </si>
  <si>
    <t>Objective: log schema, sample/export/API demonstration, integrity evidence, retention/export procedure</t>
  </si>
  <si>
    <t>No standalone CF defined for this sub-dimension; score the capability unless another explicit evidence-preservation CF is met</t>
  </si>
  <si>
    <t>QUALIFICATION DETERMINATION — ASCR-17 Section 7.2</t>
  </si>
  <si>
    <t>DIM5-INV</t>
  </si>
  <si>
    <t>Supplier Inventory Depth: primary suppliers for model development/training/delivery; cloud, data, hosting, and toolchain providers; required depth; first-tier suppliers with direct write/control access assessed against applicable ASCR-17-equivalent criteria.</t>
  </si>
  <si>
    <t>DIMENSION SCORES</t>
  </si>
  <si>
    <t>Average Score</t>
  </si>
  <si>
    <t>CF Present?</t>
  </si>
  <si>
    <t>Dimension 1 (Pipeline Integrity)</t>
  </si>
  <si>
    <t>Inventory does not reach required depth; first-tier suppliers with direct write/control access not assessed</t>
  </si>
  <si>
    <t>Objective: supplier-inventory document, assessment evidence for first-tier suppliers</t>
  </si>
  <si>
    <t>No standalone CF defined for this sub-dimension; score required inventory-depth and supplier-assessment gaps under the 1-4 scale. A score of 1 still triggers the Disqualified pathway under Section 7.2.</t>
  </si>
  <si>
    <t>DIM5-DET</t>
  </si>
  <si>
    <t>Compromise Detection Capability: continuous hash verification of pinned dependencies; automated alerting on unauthorized hash changes; behavioral testing designed to surface trigger-conditional modifications introduced through fourth-party dependencies under representative evaluated conditions.</t>
  </si>
  <si>
    <t>No continuous hash verification; no alerting on unauthorized hash changes; no demonstrated monitoring/testing capability for trigger-conditional fourth-party modifications</t>
  </si>
  <si>
    <t>Objective: toolchain monitoring configuration, tested alert records, hash-verification evidence, and representative behavioral-test results</t>
  </si>
  <si>
    <t>Dimension 2 (AI-BOM)</t>
  </si>
  <si>
    <t>No continuous hash verification; no alerting; no demonstrated monitoring or testing capability to surface fourth-party trigger-conditional modifications under representative evaluated conditions</t>
  </si>
  <si>
    <t>DIM5-HIST</t>
  </si>
  <si>
    <t>Supply Chain Incident History: signed 36-month disclosure of known/suspected relevant fourth-party compromises plus independent advisory/public-source review; continuing disclosure becomes an ASCR-11 obligation.</t>
  </si>
  <si>
    <t>Known fourth-party compromise not disclosed; evidence of undisclosed incident affecting delivered artifacts</t>
  </si>
  <si>
    <t>Objective: incident-disclosure records. Voluntary disclosure with evidence accepted and noted positively</t>
  </si>
  <si>
    <t>Known fourth-party compromise not disclosed; undisclosed-incident evidence affecting delivered artifacts</t>
  </si>
  <si>
    <t>DIM5-DOWN</t>
  </si>
  <si>
    <t>Downstream Model Provider and Sub-processor Chain: named providers/hosts/sub-processors, hosting jurisdiction, flow-down controls, material change notice, and right to object/equivalent governance where contractually required.</t>
  </si>
  <si>
    <t>Downstream providers/sub-processors not disclosed or material change controls absent</t>
  </si>
  <si>
    <t>Dimension 3 (Standard / KQP / EDGE track per VENDOR_INFO)</t>
  </si>
  <si>
    <t>Objective: supplier/sub-processor register, hosting/jurisdiction records, flow-down terms, change notices</t>
  </si>
  <si>
    <t>Tier 1: undisclosed unilateral substitution of a material downstream provider</t>
  </si>
  <si>
    <t>DIM5-EXIT</t>
  </si>
  <si>
    <t>Exit and Termination: final log/evidence export; state/memory/embedding/customer-data return or deletion as required; retention handling; key/credential/trust-anchor revocation; Tier 1 continuity/escrow or documented substitute where material.</t>
  </si>
  <si>
    <t>Exit controls incomplete; no final export/deletion/revocation path; continuity plan missing where material</t>
  </si>
  <si>
    <t>Objective: exit plan, deletion/return certificate process, export procedure, credential/key revocation runbook, continuity/escrow evidence where required</t>
  </si>
  <si>
    <t>No standalone CF defined; score on completeness and enforceability unless another explicit control failure applies</t>
  </si>
  <si>
    <t>Dimension 4 (Incident Response)</t>
  </si>
  <si>
    <t>Dimension 5 (Fourth-Party Visibility)</t>
  </si>
  <si>
    <t>OVERALL AVERAGE (applicable dimensions; equal weighting)</t>
  </si>
  <si>
    <t>QUALIFICATION DETERMINATION</t>
  </si>
  <si>
    <t>ASCR-01 EVIDENCE LINKAGE - ASCR-17 Section 7.3</t>
  </si>
  <si>
    <t>Vendor Qualification Determination</t>
  </si>
  <si>
    <t>Dimension 1 Score (Pipeline Integrity)</t>
  </si>
  <si>
    <t>Dimension 2 Score (AI-BOM)</t>
  </si>
  <si>
    <t>Assessor Sign-Off (Name / Date / Role)</t>
  </si>
  <si>
    <t>CISO or Delegated Authority Sign-Off</t>
  </si>
  <si>
    <t>Next Reassessment Due Date</t>
  </si>
  <si>
    <t>DETERMINATION INPUTS (auto-calculated — do not edit)</t>
  </si>
  <si>
    <t>Dimension 3 track in use</t>
  </si>
  <si>
    <t>Dimension 4 Score (Incident Response)</t>
  </si>
  <si>
    <t>Any Critical Failure present?</t>
  </si>
  <si>
    <t>Dimension 5 Score (Fourth-Party Visibility)</t>
  </si>
  <si>
    <t>Applicable sub-dimensions scored 1 (count)</t>
  </si>
  <si>
    <t>Count of Open Remediation Items (applicable sub-dims scoring 2)</t>
  </si>
  <si>
    <t>ASCR-17 Evidence Area</t>
  </si>
  <si>
    <t>Primary ASCR-01 Use</t>
  </si>
  <si>
    <t>Pipeline integrity / AI-BOM / provenance findings</t>
  </si>
  <si>
    <t>Applicable dimensions averaging below 2.5 (count)</t>
  </si>
  <si>
    <t>Q18 and Q30; Q8 where procurement-agent input integrity is directly affected</t>
  </si>
  <si>
    <t>Fourth-party visibility findings</t>
  </si>
  <si>
    <t>Q18 and Q30</t>
  </si>
  <si>
    <t>Vendor qualification and remediation evidence</t>
  </si>
  <si>
    <t>Q30</t>
  </si>
  <si>
    <t>Applicable dimensions not yet scored (count)</t>
  </si>
  <si>
    <t>Cross-border regulatory findings</t>
  </si>
  <si>
    <t>Q15 where directly applicable</t>
  </si>
  <si>
    <t>Privacy/data-governance findings</t>
  </si>
  <si>
    <t>Q31 where directly applicable</t>
  </si>
  <si>
    <t>Open remediation items (applicable sub-dimensions scored exactly 2)</t>
  </si>
  <si>
    <t>Other findings</t>
  </si>
  <si>
    <t>Use only where the evidence directly supports the anchor criteria of the affected current ASCR-01 question</t>
  </si>
  <si>
    <t>Integration rule</t>
  </si>
  <si>
    <t>Record the ASCR-17 evidence reference in ASCR-01 column Q and reassess only materially affected questions through the normal ASCR-01 methodology. No Raw Score overwrite, Cluster Score deduction, or Cluster Score cap.</t>
  </si>
  <si>
    <t>LOGIC NOTE</t>
  </si>
  <si>
    <t>Order: CF -&gt; score 1 -&gt; incomplete -&gt; average &lt;2.0 -&gt; CQ-30 if 4+ open items or any dimension &lt;2.5 -&gt; CQ-90 if 1-3 open items -&gt; Qualified if average &gt;=3.0, otherwise CQ-90.</t>
  </si>
  <si>
    <t>ASCR-17 VENDOR QUALIFICATION RECORD (Pre-populated from Assessment)</t>
  </si>
  <si>
    <t>Vendor Tier</t>
  </si>
  <si>
    <t>AI-BOM review checklist — field guide — Version 1.0 — June 2026</t>
  </si>
  <si>
    <t>Component(s) Assessed</t>
  </si>
  <si>
    <t>Use the Evidence Type and CF Trigger columns on each applicable tab (DIM1, DIM2, selected DIM3 Standard/KQP/EDGE track, DIM4, DIM5) as the field reference.</t>
  </si>
  <si>
    <t>Enter 1, 2, 3, 4, N/A, or CF only where the row defines a Critical Failure trigger. Record an N/A rationale.</t>
  </si>
  <si>
    <t>Apply the Section 1.2 tier-depth table before scoring. For Tier 2 or Tier 3 assessments, mark sub-dimensions outside the required assessment depth N/A and record the tier/scope rationale in Evidence Notes; do not score a Tier 1-only control as a failure solely because it is not required for that tier.</t>
  </si>
  <si>
    <t>Evidence classification</t>
  </si>
  <si>
    <t xml:space="preserve">  Objective Evidence: verifiable artifacts (logs, certificates, test reports, signed records).</t>
  </si>
  <si>
    <t xml:space="preserve">  Attestation: a vendor-authored statement without a verifiable artifact.</t>
  </si>
  <si>
    <t xml:space="preserve">  Attestation alone does not satisfy any ASCR-specific scoring threshold above 2 at any tier.</t>
  </si>
  <si>
    <t>Lead Assessor</t>
  </si>
  <si>
    <t>Score mapping</t>
  </si>
  <si>
    <t xml:space="preserve">  4 — Exceeds: evidence exceeds mandatory requirements.</t>
  </si>
  <si>
    <t>Qualification Determination</t>
  </si>
  <si>
    <t xml:space="preserve">  3 — Satisfies: evidence fully satisfies mandatory requirements for the vendor's tier.</t>
  </si>
  <si>
    <t xml:space="preserve">  2 — Partially Satisfies: gap identified with a remediation path (an open remediation item).</t>
  </si>
  <si>
    <t xml:space="preserve">  1 — Does Not Satisfy: evidence absent, or confirms the requirement is not met.</t>
  </si>
  <si>
    <t xml:space="preserve">  CF — Critical Failure: use only where the row defines a CF Trigger; automatic Disqualified pathway.</t>
  </si>
  <si>
    <t xml:space="preserve">  N/A — Not Applicable: use only when the control is genuinely outside scope; document rationale.</t>
  </si>
  <si>
    <t>Dimension 1 Score</t>
  </si>
  <si>
    <t>Dimension score</t>
  </si>
  <si>
    <t xml:space="preserve">  A dimension score is the arithmetic average of numeric scores for applicable sub-dimensions; N/A is excluded.</t>
  </si>
  <si>
    <t xml:space="preserve">  Each applicable assessment dimension is equally weighted in the overall average; weighting renormalizes when a dimension is N/A.</t>
  </si>
  <si>
    <t xml:space="preserve">  The QUALIFICATION tab computes the ordered Section 7.2 logic; do not pre-round scores before qualification tests.</t>
  </si>
  <si>
    <t xml:space="preserve">  A single CF or any applicable score 1 forces the Disqualified pathway before average-based tests.</t>
  </si>
  <si>
    <t>Dimension 2 Score</t>
  </si>
  <si>
    <t>Dimension 3 Score</t>
  </si>
  <si>
    <t>Dimension 4 Score</t>
  </si>
  <si>
    <t>Dimension 5 Score</t>
  </si>
  <si>
    <t>Open Remediation Items (count)</t>
  </si>
  <si>
    <t>Remediation Milestone Date</t>
  </si>
  <si>
    <t>[Enter date if Conditionally Qualified]</t>
  </si>
  <si>
    <t>Next Scheduled Reassessment Date</t>
  </si>
  <si>
    <t>CISO Sign-Off</t>
  </si>
  <si>
    <t>ASCR-11 Contract / Evidence Reference</t>
  </si>
  <si>
    <t>[Enter executed contract, clause, repository, or evidence reference where applicable; otherwise N/A]</t>
  </si>
  <si>
    <t>Qualification Record Version / Update Reason</t>
  </si>
  <si>
    <t>[Enter version number and update reason]</t>
  </si>
  <si>
    <t>Date of This Qualification Record Entry</t>
  </si>
  <si>
    <t>[Enter date]</t>
  </si>
  <si>
    <t>Updating Party Name and Role</t>
  </si>
  <si>
    <t>[Enter name and role]</t>
  </si>
  <si>
    <t>IMPORTANT: Each qualification-record update must carry a date stamp, updating-party identity, and update reason. Prior entries must not be overwritten. Preserve complete update history to support contractual auditability, incident reconstruction, and evidence availability, including disclosure obligations where Directive (EU) 2024/2853 Article 9 applies through national law. Where the executed ASCR-11 agreement requires or relies on ASCR-17 qualification evidence, record the corresponding contract or governed evidence reference above. This workbook does not monitor calendar deadlines automatically; the ASCR-11/ASCR-12 governance process must identify and record missed remediation milestones.</t>
  </si>
  <si>
    <t>TKQ deployment-approved threshold and evidence capture — Version 1.0 — June 2026</t>
  </si>
  <si>
    <t>KQP-1 assessment aid. This sheet does not establish independent ASCR-17 TKQ thresholds. Populate from the current ASCR-04 Section 3.6.5 / ASCR-04-OE01 KQP TKQ Thresholds source and the applicable ASCR-10 commissioning evidence. P99.9 applies to each governed asset class; High or Critical physical-consequence deployments must additionally demonstrate the applicable P99.99 threshold. Percentile claims require the statistical validation specified by ASCR-11 Section 11.3.1.1. Lower-percentile P95/P99 results may be retained for observability but do not satisfy the TKQ obligation.</t>
  </si>
  <si>
    <t>Dimension 3 (EDGE): Edge Inference Hardware Assurance</t>
  </si>
  <si>
    <t>Section 1 — Deployment-approved TKQ thresholds and qualification evidence</t>
  </si>
  <si>
    <t>Asset Class</t>
  </si>
  <si>
    <t>Deployment-Approved P99.9 TKQ</t>
  </si>
  <si>
    <t>Deployment-Approved P99.99 TKQ — High/Critical</t>
  </si>
  <si>
    <t>ASCR-10 Commissioning / ASCR-11 Statistical-Validation Evidence Reference</t>
  </si>
  <si>
    <t>Current ASCR-04 Source / Verification</t>
  </si>
  <si>
    <t>AMR / AGV (max speed ≤ 2 m/s)</t>
  </si>
  <si>
    <t>[DEPLOYMENT-APPROVED P99.9 TKQ]</t>
  </si>
  <si>
    <t>EDGE-1</t>
  </si>
  <si>
    <t>[DEPLOYMENT-APPROVED P99.99 TKQ / N/A]</t>
  </si>
  <si>
    <t>[ASCR-10 COMMISSIONING EVIDENCE / ASCR-11 11.3.1.1 VALIDATION RECORD]</t>
  </si>
  <si>
    <t>ASCR-04 §3.6.5 / OE01 KQP TKQ Thresholds</t>
  </si>
  <si>
    <t>TEE / Secure Boot / Remote Attestation: verifiable secure/measured boot, current attestation evidence, hardware/firmware measurement chain, and remote verifier compatibility for the supplied platform.</t>
  </si>
  <si>
    <t>AMR / AGV (max speed &gt; 2 m/s)</t>
  </si>
  <si>
    <t>Robotic arm (payload ≤ 10 kg)</t>
  </si>
  <si>
    <t>Robotic arm (payload &gt; 10 kg)</t>
  </si>
  <si>
    <t>Conveyor system</t>
  </si>
  <si>
    <t>Crane / hoist</t>
  </si>
  <si>
    <t>Custom / multi-axis system</t>
  </si>
  <si>
    <t>Mixed-asset deployments use the most stringent applicable deployment-approved P99.9 TKQ threshold. High or Critical physical-consequence deployments must additionally satisfy the most stringent applicable P99.99 threshold. A blank or reference placeholder is not a production-approved threshold. Record the exact commissioned value and evidence reference used for this assessment.</t>
  </si>
  <si>
    <t>No verifiable TEE/secure-boot attestation evidence for hardware represented as providing a trusted execution environment</t>
  </si>
  <si>
    <t>Objective: attestation report/quote, measured-boot evidence, verifier output, secure-boot configuration and trust-chain documentation</t>
  </si>
  <si>
    <t>Vendor claims TEE assurance but cannot provide verifiable attestation/secure-boot evidence</t>
  </si>
  <si>
    <t>EDGE-2</t>
  </si>
  <si>
    <t>Firmware Supply Chain and Change Control: signed firmware, firmware BOM/SBOM, authorized update process, rollback, PCR/measurement change handling, provenance, and advance material-change notice.</t>
  </si>
  <si>
    <t>Section 2 — Tamper-detection response-time thresholds</t>
  </si>
  <si>
    <t>Firmware provenance/change control incomplete; rollback or material-change notice missing</t>
  </si>
  <si>
    <t>Objective: signed firmware/update metadata, firmware BOM/SBOM, PCR/change records, rollback demo, prior notifications</t>
  </si>
  <si>
    <t>Production platform accepts unsigned or unverifiable firmware, or no trustworthy firmware provenance path exists</t>
  </si>
  <si>
    <t>Asset Category</t>
  </si>
  <si>
    <t>EDGE-3</t>
  </si>
  <si>
    <t>Max Response Time</t>
  </si>
  <si>
    <t>Hardware Trust Anchor and Key Isolation: hardware-backed device identity, protected trust anchors/attestation keys, revocation/rotation, and no software-extractable private-key path.</t>
  </si>
  <si>
    <t>Standard Reference</t>
  </si>
  <si>
    <t>Notes</t>
  </si>
  <si>
    <t>Standard velocity (AMR, conveyor, AGV, crane)</t>
  </si>
  <si>
    <t>Trust-anchor/key isolation evidence incomplete or revocation path not demonstrated</t>
  </si>
  <si>
    <t>&lt;= 50 ms</t>
  </si>
  <si>
    <t>Objective: hardware security architecture, attestation/device certificate chain, key-isolation evidence, revocation/rotation procedure</t>
  </si>
  <si>
    <t>ISO 12100 + ISO 13849-1 Annex A + ISO 13855</t>
  </si>
  <si>
    <t>Conservative ASCR-05 default. Derive deployment-specific response-time/safeguard relationship using ISO 13855, with PLr per ISO 13849-1 Annex A.</t>
  </si>
  <si>
    <t>Device/trust-anchor private keys are software-extractable or no hardware-backed device identity exists</t>
  </si>
  <si>
    <t>High-velocity (robotic arm; high-speed conveyor)</t>
  </si>
  <si>
    <t>&lt;= 20 ms</t>
  </si>
  <si>
    <t>ISO 13849-1 PLd Cat.3 — deployment-specific T_r derivation required</t>
  </si>
  <si>
    <t>Apply where tip/crush velocity exceeds standard envelope. Document derivation in procurement specification.</t>
  </si>
  <si>
    <t>Custom or novel asset class</t>
  </si>
  <si>
    <t>Derive from installed geometry and operating envelope</t>
  </si>
  <si>
    <t>Do not use the 50 ms default automatically. Measure installed geometry and operating conditions, derive the response-time requirement, and document it in the ASCR-11 procurement specification.</t>
  </si>
  <si>
    <t>Section 3 — HSM and signing requirements</t>
  </si>
  <si>
    <t>Requirement</t>
  </si>
  <si>
    <t>Specification</t>
  </si>
  <si>
    <t>HSM certification level</t>
  </si>
  <si>
    <t>FIPS 140-3 Level 3 minimum. Certificate scope must explicitly cover the KQP signing-key operations, not only the physical security of the device.</t>
  </si>
  <si>
    <t>Acceptable signing algorithms</t>
  </si>
  <si>
    <t>Ed25519 (preferred) or ECDSA P-256. RSA-2048 is out of scope for new ASCR KQP deployments by policy (not a FIPS restriction); document RSA-based proxies as ASCR-11 deviations. Plan for ML-DSA (FIPS 204) migration where practical.</t>
  </si>
  <si>
    <t>Key storage requirement</t>
  </si>
  <si>
    <t>Hardware-backed, non-exportable private-key storage. No software-readable private-key extraction path.</t>
  </si>
  <si>
    <t>Certificate scope verification</t>
  </si>
  <si>
    <t>Assessor must verify the certificate is current and scope covers the specific HSM model deployed, not a reference or predecessor model.</t>
  </si>
  <si>
    <t>Section 4 - ISO 13855:2024 safeguard-positioning / response-time quick reference (where applicable)</t>
  </si>
  <si>
    <t>Input</t>
  </si>
  <si>
    <t>How to obtain</t>
  </si>
  <si>
    <t>Maximum hazardous motion velocity (v_max)</t>
  </si>
  <si>
    <t>From asset manufacturer specifications or measured worst-case operating envelope.</t>
  </si>
  <si>
    <t>Human approach speed (v_h)</t>
  </si>
  <si>
    <t>ISO 13855: 2000 mm/s (2.0 m/s) for upper-limb (hand/arm) movement; 1600 mm/s (1.6 m/s) for walking / whole-body approach.</t>
  </si>
  <si>
    <t>Minimum safe distance (S)</t>
  </si>
  <si>
    <t>Measure the installed distance from the detection zone / guard to the nearest hazard point. Do not calculate S from an assumed T_r; use the measured geometry in the ISO 13855 relationship.</t>
  </si>
  <si>
    <t>Machine stopping time and other response-time contributions</t>
  </si>
  <si>
    <t>Measure or obtain the machine stopping time at the relevant operating condition and identify the other safety-related device response times and tolerance factors included in the overall ISO 13855 response time T.</t>
  </si>
  <si>
    <t>Available KQP / proxy response-time budget</t>
  </si>
  <si>
    <t>Where ISO 13855:2024 applies to the safeguarding arrangement, use the applicable safeguard-specific separation-distance relationship and parameter definitions from the current standard to determine the maximum allowable overall response time T for the installed safeguard. Subtract the measured machine stopping time and other safety-related device and tolerance contributions included in that relationship to derive the maximum response-time budget available to the KQP/proxy. Record the exact ISO 13855:2024 clause or equation, parameter values, and derivation used in the ASCR-11 procurement specification.</t>
  </si>
  <si>
    <t>Validation rule: Reject any candidate TKQ threshold that exceeds the maximum response-time budget derived from the applicable safeguarding/hazard analysis. If the proxy's demonstrated P99.9 TKQ value, or the P99.99 value where High/Critical applies, exceeds either the deployment-approved TKQ threshold or the applicable derived response-time budget, change installed geometry, asset speed, proxy/control design, or other governing safety design; do not relax the safety threshold to accommodate the proxy.</t>
  </si>
  <si>
    <t>Assessor verification: ASCR-04 version: ____ | ASCR-04 OE01 threshold row(s): ____ | ASCR-10 commissioning evidence reference: ____ | ASCR-11 §11.3.1.1 statistical-validation record reference: ____ | Date verified: ____</t>
  </si>
</sst>
</file>

<file path=xl/styles.xml><?xml version="1.0" encoding="utf-8"?>
<styleSheet xmlns="http://schemas.openxmlformats.org/spreadsheetml/2006/main" xmlns:x14ac="http://schemas.microsoft.com/office/spreadsheetml/2009/9/ac" xmlns:mc="http://schemas.openxmlformats.org/markup-compatibility/2006">
  <numFmts count="1">
    <numFmt numFmtId="164" formatCode="0.00;-0.00;"/>
  </numFmts>
  <fonts count="28">
    <font>
      <sz val="11.0"/>
      <color theme="1"/>
      <name val="Calibri"/>
      <scheme val="minor"/>
    </font>
    <font>
      <b/>
      <sz val="14.0"/>
      <color rgb="FFFFFFFF"/>
      <name val="Arial"/>
    </font>
    <font>
      <b/>
      <sz val="14.0"/>
      <color rgb="FFFFFFFF"/>
      <name val="Calibri"/>
    </font>
    <font>
      <b/>
      <sz val="10.0"/>
      <color rgb="FFFFFFFF"/>
      <name val="Arial"/>
    </font>
    <font>
      <b/>
      <sz val="11.0"/>
      <color rgb="FFFFFFFF"/>
      <name val="Arial"/>
    </font>
    <font/>
    <font>
      <sz val="10.0"/>
      <color rgb="FF595959"/>
      <name val="Arial"/>
    </font>
    <font>
      <b/>
      <sz val="11.0"/>
      <color rgb="FFFFFFFF"/>
      <name val="Calibri"/>
    </font>
    <font>
      <b/>
      <sz val="9.0"/>
      <color rgb="FF000000"/>
      <name val="Arial"/>
    </font>
    <font>
      <sz val="10.0"/>
      <color rgb="FF000000"/>
      <name val="Arial"/>
    </font>
    <font>
      <sz val="10.0"/>
      <color theme="1"/>
      <name val="Arial"/>
    </font>
    <font>
      <b/>
      <sz val="9.0"/>
      <color rgb="FFFFFFFF"/>
      <name val="Arial"/>
    </font>
    <font>
      <b/>
      <sz val="11.0"/>
      <color rgb="FF000000"/>
      <name val="Calibri"/>
    </font>
    <font>
      <sz val="11.0"/>
      <color theme="1"/>
      <name val="Calibri"/>
    </font>
    <font>
      <sz val="9.0"/>
      <color rgb="FF000000"/>
      <name val="Arial"/>
    </font>
    <font>
      <sz val="10.0"/>
      <color rgb="FFC00000"/>
      <name val="Arial"/>
    </font>
    <font>
      <b/>
      <sz val="9.0"/>
      <color theme="1"/>
      <name val="Arial"/>
    </font>
    <font>
      <sz val="9.0"/>
      <color theme="1"/>
      <name val="Arial"/>
    </font>
    <font>
      <b/>
      <sz val="11.0"/>
      <color theme="1"/>
      <name val="Arial"/>
    </font>
    <font>
      <sz val="9.0"/>
      <color rgb="FFC00000"/>
      <name val="Arial"/>
    </font>
    <font>
      <b/>
      <sz val="9.0"/>
      <color rgb="FFC00000"/>
      <name val="Arial"/>
    </font>
    <font>
      <sz val="11.0"/>
      <color rgb="FF000000"/>
      <name val="Calibri"/>
    </font>
    <font>
      <b/>
      <sz val="12.0"/>
      <color theme="1"/>
      <name val="Arial"/>
    </font>
    <font>
      <b/>
      <sz val="10.0"/>
      <color rgb="FFC00000"/>
      <name val="Arial"/>
    </font>
    <font>
      <b/>
      <sz val="10.0"/>
      <color rgb="FF000000"/>
      <name val="Arial"/>
    </font>
    <font>
      <b/>
      <sz val="12.0"/>
      <color rgb="FF1F4E79"/>
      <name val="Arial"/>
    </font>
    <font>
      <b/>
      <sz val="10.0"/>
      <color rgb="FF1F4E79"/>
      <name val="Arial"/>
    </font>
    <font>
      <i/>
      <sz val="9.0"/>
      <color rgb="FFC00000"/>
      <name val="Arial"/>
    </font>
  </fonts>
  <fills count="14">
    <fill>
      <patternFill patternType="none"/>
    </fill>
    <fill>
      <patternFill patternType="lightGray"/>
    </fill>
    <fill>
      <patternFill patternType="solid">
        <fgColor rgb="FF1F4E79"/>
        <bgColor rgb="FF1F4E79"/>
      </patternFill>
    </fill>
    <fill>
      <patternFill patternType="solid">
        <fgColor rgb="FF1F3864"/>
        <bgColor rgb="FF1F3864"/>
      </patternFill>
    </fill>
    <fill>
      <patternFill patternType="solid">
        <fgColor rgb="FF1F4E78"/>
        <bgColor rgb="FF1F4E78"/>
      </patternFill>
    </fill>
    <fill>
      <patternFill patternType="solid">
        <fgColor rgb="FFEEF2F8"/>
        <bgColor rgb="FFEEF2F8"/>
      </patternFill>
    </fill>
    <fill>
      <patternFill patternType="solid">
        <fgColor rgb="FFFFFDE7"/>
        <bgColor rgb="FFFFFDE7"/>
      </patternFill>
    </fill>
    <fill>
      <patternFill patternType="solid">
        <fgColor rgb="FF2E75B6"/>
        <bgColor rgb="FF2E75B6"/>
      </patternFill>
    </fill>
    <fill>
      <patternFill patternType="solid">
        <fgColor rgb="FF2F75B5"/>
        <bgColor rgb="FF2F75B5"/>
      </patternFill>
    </fill>
    <fill>
      <patternFill patternType="solid">
        <fgColor rgb="FFD9E2F3"/>
        <bgColor rgb="FFD9E2F3"/>
      </patternFill>
    </fill>
    <fill>
      <patternFill patternType="solid">
        <fgColor rgb="FFC00000"/>
        <bgColor rgb="FFC00000"/>
      </patternFill>
    </fill>
    <fill>
      <patternFill patternType="solid">
        <fgColor rgb="FFFFFFFF"/>
        <bgColor rgb="FFFFFFFF"/>
      </patternFill>
    </fill>
    <fill>
      <patternFill patternType="solid">
        <fgColor rgb="FF17365D"/>
        <bgColor rgb="FF17365D"/>
      </patternFill>
    </fill>
    <fill>
      <patternFill patternType="solid">
        <fgColor rgb="FFD9EAF7"/>
        <bgColor rgb="FFD9EAF7"/>
      </patternFill>
    </fill>
  </fills>
  <borders count="9">
    <border/>
    <border>
      <left style="thin">
        <color rgb="FFAAAAAA"/>
      </left>
      <top style="thin">
        <color rgb="FFAAAAAA"/>
      </top>
      <bottom style="thin">
        <color rgb="FFAAAAAA"/>
      </bottom>
    </border>
    <border>
      <right style="thin">
        <color rgb="FFAAAAAA"/>
      </right>
      <top style="thin">
        <color rgb="FFAAAAAA"/>
      </top>
      <bottom style="thin">
        <color rgb="FFAAAAAA"/>
      </bottom>
    </border>
    <border>
      <top style="thin">
        <color rgb="FFAAAAAA"/>
      </top>
      <bottom style="thin">
        <color rgb="FFAAAAAA"/>
      </bottom>
    </border>
    <border>
      <left style="thin">
        <color rgb="FFAAAAAA"/>
      </left>
      <right style="thin">
        <color rgb="FFAAAAAA"/>
      </right>
      <top style="thin">
        <color rgb="FFAAAAAA"/>
      </top>
      <bottom style="thin">
        <color rgb="FFAAAAAA"/>
      </bottom>
    </border>
    <border>
      <left style="thin">
        <color rgb="FFBFBFBF"/>
      </left>
      <right style="thin">
        <color rgb="FFBFBFBF"/>
      </right>
      <top style="thin">
        <color rgb="FFBFBFBF"/>
      </top>
      <bottom style="thin">
        <color rgb="FFBFBFBF"/>
      </bottom>
    </border>
    <border>
      <left style="thin">
        <color rgb="FFBFBFBF"/>
      </left>
      <top style="thin">
        <color rgb="FFBFBFBF"/>
      </top>
      <bottom style="thin">
        <color rgb="FFBFBFBF"/>
      </bottom>
    </border>
    <border>
      <top style="thin">
        <color rgb="FFBFBFBF"/>
      </top>
      <bottom style="thin">
        <color rgb="FFBFBFBF"/>
      </bottom>
    </border>
    <border>
      <right style="thin">
        <color rgb="FFBFBFBF"/>
      </right>
      <top style="thin">
        <color rgb="FFBFBFBF"/>
      </top>
      <bottom style="thin">
        <color rgb="FFBFBFBF"/>
      </bottom>
    </border>
  </borders>
  <cellStyleXfs count="1">
    <xf borderId="0" fillId="0" fontId="0" numFmtId="0" applyAlignment="1" applyFont="1"/>
  </cellStyleXfs>
  <cellXfs count="76">
    <xf borderId="0" fillId="0" fontId="0" numFmtId="0" xfId="0" applyAlignment="1" applyFont="1">
      <alignment readingOrder="0" shrinkToFit="0" vertical="bottom" wrapText="0"/>
    </xf>
    <xf borderId="0" fillId="2" fontId="1" numFmtId="0" xfId="0" applyAlignment="1" applyFill="1" applyFont="1">
      <alignment shrinkToFit="0" vertical="center" wrapText="1"/>
    </xf>
    <xf borderId="0" fillId="3" fontId="2" numFmtId="0" xfId="0" applyAlignment="1" applyFill="1" applyFont="1">
      <alignment horizontal="left" vertical="center"/>
    </xf>
    <xf borderId="1" fillId="2" fontId="3" numFmtId="0" xfId="0" applyAlignment="1" applyBorder="1" applyFill="1" applyFont="1">
      <alignment horizontal="center" shrinkToFit="0" vertical="center" wrapText="1"/>
    </xf>
    <xf borderId="1" fillId="4" fontId="4" numFmtId="0" xfId="0" applyAlignment="1" applyBorder="1" applyFill="1" applyFont="1">
      <alignment horizontal="center" shrinkToFit="0" vertical="center" wrapText="1"/>
    </xf>
    <xf borderId="2" fillId="0" fontId="5" numFmtId="0" xfId="0" applyBorder="1" applyFont="1"/>
    <xf borderId="3" fillId="0" fontId="5" numFmtId="0" xfId="0" applyBorder="1" applyFont="1"/>
    <xf borderId="0" fillId="0" fontId="6" numFmtId="0" xfId="0" applyAlignment="1" applyFont="1">
      <alignment shrinkToFit="0" vertical="center" wrapText="1"/>
    </xf>
    <xf borderId="0" fillId="4" fontId="7" numFmtId="0" xfId="0" applyAlignment="1" applyFill="1" applyFont="1">
      <alignment shrinkToFit="0" wrapText="1"/>
    </xf>
    <xf borderId="4" fillId="5" fontId="8" numFmtId="0" xfId="0" applyAlignment="1" applyBorder="1" applyFill="1" applyFont="1">
      <alignment horizontal="left" shrinkToFit="0" vertical="top" wrapText="1"/>
    </xf>
    <xf borderId="0" fillId="0" fontId="9" numFmtId="0" xfId="0" applyAlignment="1" applyFont="1">
      <alignment shrinkToFit="0" vertical="center" wrapText="1"/>
    </xf>
    <xf borderId="4" fillId="6" fontId="10" numFmtId="0" xfId="0" applyAlignment="1" applyBorder="1" applyFill="1" applyFont="1">
      <alignment shrinkToFit="0" vertical="top" wrapText="1"/>
    </xf>
    <xf borderId="0" fillId="7" fontId="4" numFmtId="0" xfId="0" applyAlignment="1" applyFill="1" applyFont="1">
      <alignment shrinkToFit="0" vertical="center" wrapText="1"/>
    </xf>
    <xf borderId="4" fillId="8" fontId="11" numFmtId="0" xfId="0" applyAlignment="1" applyBorder="1" applyFill="1" applyFont="1">
      <alignment horizontal="center" shrinkToFit="0" vertical="center" wrapText="1"/>
    </xf>
    <xf borderId="0" fillId="9" fontId="12" numFmtId="0" xfId="0" applyAlignment="1" applyFill="1" applyFont="1">
      <alignment shrinkToFit="0" vertical="top" wrapText="1"/>
    </xf>
    <xf borderId="0" fillId="0" fontId="13" numFmtId="0" xfId="0" applyAlignment="1" applyFont="1">
      <alignment shrinkToFit="0" vertical="top" wrapText="1"/>
    </xf>
    <xf borderId="0" fillId="8" fontId="11" numFmtId="0" xfId="0" applyAlignment="1" applyFill="1" applyFont="1">
      <alignment shrinkToFit="0" vertical="top" wrapText="1"/>
    </xf>
    <xf borderId="4" fillId="0" fontId="14" numFmtId="0" xfId="0" applyAlignment="1" applyBorder="1" applyFont="1">
      <alignment horizontal="left" shrinkToFit="0" vertical="top" wrapText="1"/>
    </xf>
    <xf borderId="0" fillId="0" fontId="15" numFmtId="0" xfId="0" applyAlignment="1" applyFont="1">
      <alignment shrinkToFit="0" vertical="center" wrapText="1"/>
    </xf>
    <xf borderId="0" fillId="0" fontId="16" numFmtId="0" xfId="0" applyAlignment="1" applyFont="1">
      <alignment shrinkToFit="0" vertical="top" wrapText="1"/>
    </xf>
    <xf borderId="0" fillId="10" fontId="4" numFmtId="0" xfId="0" applyAlignment="1" applyFill="1" applyFont="1">
      <alignment shrinkToFit="0" vertical="center" wrapText="1"/>
    </xf>
    <xf borderId="5" fillId="6" fontId="17" numFmtId="0" xfId="0" applyAlignment="1" applyBorder="1" applyFill="1" applyFont="1">
      <alignment shrinkToFit="0" vertical="top" wrapText="1"/>
    </xf>
    <xf borderId="0" fillId="0" fontId="13" numFmtId="0" xfId="0" applyAlignment="1" applyFont="1">
      <alignment shrinkToFit="0" wrapText="1"/>
    </xf>
    <xf borderId="4" fillId="6" fontId="18" numFmtId="0" xfId="0" applyAlignment="1" applyBorder="1" applyFill="1" applyFont="1">
      <alignment horizontal="center" shrinkToFit="0" vertical="center" wrapText="1"/>
    </xf>
    <xf borderId="0" fillId="0" fontId="16" numFmtId="0" xfId="0" applyAlignment="1" applyFont="1">
      <alignment shrinkToFit="0" wrapText="1"/>
    </xf>
    <xf borderId="0" fillId="0" fontId="17" numFmtId="0" xfId="0" applyAlignment="1" applyFont="1">
      <alignment shrinkToFit="0" wrapText="1"/>
    </xf>
    <xf borderId="4" fillId="0" fontId="19" numFmtId="0" xfId="0" applyAlignment="1" applyBorder="1" applyFont="1">
      <alignment horizontal="center" shrinkToFit="0" wrapText="1"/>
    </xf>
    <xf borderId="5" fillId="0" fontId="17" numFmtId="0" xfId="0" applyAlignment="1" applyBorder="1" applyFont="1">
      <alignment shrinkToFit="0" vertical="top" wrapText="1"/>
    </xf>
    <xf borderId="1" fillId="2" fontId="11" numFmtId="0" xfId="0" applyAlignment="1" applyBorder="1" applyFill="1" applyFont="1">
      <alignment horizontal="left" shrinkToFit="0" vertical="top" wrapText="1"/>
    </xf>
    <xf borderId="4" fillId="0" fontId="18" numFmtId="164" xfId="0" applyAlignment="1" applyBorder="1" applyFont="1" applyNumberFormat="1">
      <alignment horizontal="center" shrinkToFit="0" wrapText="1"/>
    </xf>
    <xf borderId="4" fillId="0" fontId="20" numFmtId="0" xfId="0" applyAlignment="1" applyBorder="1" applyFont="1">
      <alignment horizontal="center" shrinkToFit="0" wrapText="1"/>
    </xf>
    <xf borderId="4" fillId="11" fontId="21" numFmtId="0" xfId="0" applyAlignment="1" applyBorder="1" applyFill="1" applyFont="1">
      <alignment shrinkToFit="0" vertical="bottom" wrapText="1"/>
    </xf>
    <xf borderId="4" fillId="0" fontId="18" numFmtId="2" xfId="0" applyAlignment="1" applyBorder="1" applyFont="1" applyNumberFormat="1">
      <alignment horizontal="center" shrinkToFit="0" wrapText="1"/>
    </xf>
    <xf borderId="0" fillId="0" fontId="13" numFmtId="164" xfId="0" applyAlignment="1" applyFont="1" applyNumberFormat="1">
      <alignment shrinkToFit="0" wrapText="1"/>
    </xf>
    <xf borderId="1" fillId="2" fontId="4" numFmtId="0" xfId="0" applyAlignment="1" applyBorder="1" applyFill="1" applyFont="1">
      <alignment horizontal="center" shrinkToFit="0" vertical="center" wrapText="1"/>
    </xf>
    <xf borderId="4" fillId="7" fontId="11" numFmtId="0" xfId="0" applyAlignment="1" applyBorder="1" applyFill="1" applyFont="1">
      <alignment horizontal="left" shrinkToFit="0" vertical="top" wrapText="1"/>
    </xf>
    <xf borderId="4" fillId="0" fontId="13" numFmtId="164" xfId="0" applyAlignment="1" applyBorder="1" applyFont="1" applyNumberFormat="1">
      <alignment horizontal="center" shrinkToFit="0" wrapText="1"/>
    </xf>
    <xf borderId="4" fillId="2" fontId="11" numFmtId="0" xfId="0" applyAlignment="1" applyBorder="1" applyFill="1" applyFont="1">
      <alignment horizontal="left" shrinkToFit="0" vertical="top" wrapText="1"/>
    </xf>
    <xf borderId="4" fillId="0" fontId="22" numFmtId="164" xfId="0" applyAlignment="1" applyBorder="1" applyFont="1" applyNumberFormat="1">
      <alignment horizontal="center" shrinkToFit="0" wrapText="1"/>
    </xf>
    <xf borderId="4" fillId="0" fontId="23" numFmtId="0" xfId="0" applyAlignment="1" applyBorder="1" applyFont="1">
      <alignment horizontal="center" shrinkToFit="0" wrapText="1"/>
    </xf>
    <xf borderId="1" fillId="12" fontId="1" numFmtId="0" xfId="0" applyAlignment="1" applyBorder="1" applyFill="1" applyFont="1">
      <alignment horizontal="center" shrinkToFit="0" vertical="center" wrapText="1"/>
    </xf>
    <xf borderId="4" fillId="11" fontId="8" numFmtId="0" xfId="0" applyAlignment="1" applyBorder="1" applyFill="1" applyFont="1">
      <alignment horizontal="left" shrinkToFit="0" vertical="top" wrapText="1"/>
    </xf>
    <xf borderId="1" fillId="0" fontId="24" numFmtId="0" xfId="0" applyAlignment="1" applyBorder="1" applyFont="1">
      <alignment horizontal="left" shrinkToFit="0" vertical="top" wrapText="1"/>
    </xf>
    <xf borderId="4" fillId="5" fontId="14" numFmtId="0" xfId="0" applyAlignment="1" applyBorder="1" applyFill="1" applyFont="1">
      <alignment horizontal="left" shrinkToFit="0" vertical="top" wrapText="1"/>
    </xf>
    <xf borderId="1" fillId="0" fontId="9" numFmtId="2" xfId="0" applyAlignment="1" applyBorder="1" applyFont="1" applyNumberFormat="1">
      <alignment horizontal="left" shrinkToFit="0" vertical="top" wrapText="1"/>
    </xf>
    <xf borderId="4" fillId="11" fontId="14" numFmtId="0" xfId="0" applyAlignment="1" applyBorder="1" applyFill="1" applyFont="1">
      <alignment horizontal="left" shrinkToFit="0" vertical="top" wrapText="1"/>
    </xf>
    <xf borderId="1" fillId="0" fontId="25" numFmtId="0" xfId="0" applyAlignment="1" applyBorder="1" applyFont="1">
      <alignment horizontal="left" shrinkToFit="0" vertical="center" wrapText="1"/>
    </xf>
    <xf borderId="0" fillId="7" fontId="11" numFmtId="0" xfId="0" applyAlignment="1" applyFill="1" applyFont="1">
      <alignment shrinkToFit="0" vertical="top" wrapText="1"/>
    </xf>
    <xf borderId="1" fillId="0" fontId="9" numFmtId="0" xfId="0" applyAlignment="1" applyBorder="1" applyFont="1">
      <alignment horizontal="left" shrinkToFit="0" vertical="top" wrapText="1"/>
    </xf>
    <xf borderId="4" fillId="4" fontId="11" numFmtId="0" xfId="0" applyAlignment="1" applyBorder="1" applyFill="1" applyFont="1">
      <alignment horizontal="center" shrinkToFit="0" vertical="center" wrapText="1"/>
    </xf>
    <xf borderId="4" fillId="4" fontId="3" numFmtId="0" xfId="0" applyAlignment="1" applyBorder="1" applyFill="1" applyFont="1">
      <alignment horizontal="center" shrinkToFit="0" vertical="center" wrapText="1"/>
    </xf>
    <xf borderId="4" fillId="0" fontId="26" numFmtId="0" xfId="0" applyAlignment="1" applyBorder="1" applyFont="1">
      <alignment horizontal="left" shrinkToFit="0" vertical="top" wrapText="1"/>
    </xf>
    <xf borderId="0" fillId="0" fontId="21" numFmtId="0" xfId="0" applyAlignment="1" applyFont="1">
      <alignment shrinkToFit="0" vertical="top" wrapText="1"/>
    </xf>
    <xf borderId="4" fillId="13" fontId="8" numFmtId="0" xfId="0" applyAlignment="1" applyBorder="1" applyFill="1" applyFont="1">
      <alignment horizontal="left" shrinkToFit="0" vertical="top" wrapText="1"/>
    </xf>
    <xf borderId="1" fillId="13" fontId="8" numFmtId="0" xfId="0" applyAlignment="1" applyBorder="1" applyFill="1" applyFont="1">
      <alignment horizontal="left" shrinkToFit="0" vertical="top" wrapText="1"/>
    </xf>
    <xf borderId="4" fillId="0" fontId="10" numFmtId="0" xfId="0" applyAlignment="1" applyBorder="1" applyFont="1">
      <alignment shrinkToFit="0" vertical="top" wrapText="1"/>
    </xf>
    <xf borderId="0" fillId="2" fontId="4" numFmtId="0" xfId="0" applyAlignment="1" applyFill="1" applyFont="1">
      <alignment shrinkToFit="0" vertical="top" wrapText="1"/>
    </xf>
    <xf borderId="0" fillId="0" fontId="17" numFmtId="0" xfId="0" applyAlignment="1" applyFont="1">
      <alignment shrinkToFit="0" vertical="top" wrapText="1"/>
    </xf>
    <xf borderId="4" fillId="0" fontId="10" numFmtId="2" xfId="0" applyAlignment="1" applyBorder="1" applyFont="1" applyNumberFormat="1">
      <alignment shrinkToFit="0" vertical="top" wrapText="1"/>
    </xf>
    <xf borderId="4" fillId="5" fontId="12" numFmtId="0" xfId="0" applyAlignment="1" applyBorder="1" applyFill="1" applyFont="1">
      <alignment horizontal="left" shrinkToFit="0" wrapText="1"/>
    </xf>
    <xf borderId="4" fillId="6" fontId="13" numFmtId="0" xfId="0" applyAlignment="1" applyBorder="1" applyFill="1" applyFont="1">
      <alignment shrinkToFit="0" wrapText="1"/>
    </xf>
    <xf borderId="0" fillId="0" fontId="27" numFmtId="0" xfId="0" applyAlignment="1" applyFont="1">
      <alignment shrinkToFit="0" wrapText="1"/>
    </xf>
    <xf borderId="0" fillId="11" fontId="8" numFmtId="0" xfId="0" applyAlignment="1" applyFill="1" applyFont="1">
      <alignment shrinkToFit="0" vertical="top" wrapText="1"/>
    </xf>
    <xf borderId="0" fillId="11" fontId="14" numFmtId="0" xfId="0" applyAlignment="1" applyFill="1" applyFont="1">
      <alignment shrinkToFit="0" wrapText="1"/>
    </xf>
    <xf borderId="0" fillId="7" fontId="11" numFmtId="0" xfId="0" applyAlignment="1" applyFill="1" applyFont="1">
      <alignment shrinkToFit="0" vertical="center" wrapText="1"/>
    </xf>
    <xf borderId="0" fillId="8" fontId="7" numFmtId="0" xfId="0" applyAlignment="1" applyFill="1" applyFont="1">
      <alignment shrinkToFit="0" wrapText="1"/>
    </xf>
    <xf borderId="5" fillId="7" fontId="11" numFmtId="0" xfId="0" applyAlignment="1" applyBorder="1" applyFill="1" applyFont="1">
      <alignment shrinkToFit="0" vertical="center" wrapText="1"/>
    </xf>
    <xf borderId="5" fillId="11" fontId="14" numFmtId="0" xfId="0" applyAlignment="1" applyBorder="1" applyFill="1" applyFont="1">
      <alignment shrinkToFit="0" vertical="top" wrapText="1"/>
    </xf>
    <xf borderId="6" fillId="13" fontId="8" numFmtId="0" xfId="0" applyAlignment="1" applyBorder="1" applyFill="1" applyFont="1">
      <alignment shrinkToFit="0" vertical="center" wrapText="1"/>
    </xf>
    <xf borderId="7" fillId="0" fontId="5" numFmtId="0" xfId="0" applyBorder="1" applyFont="1"/>
    <xf borderId="8" fillId="0" fontId="5" numFmtId="0" xfId="0" applyBorder="1" applyFont="1"/>
    <xf borderId="6" fillId="7" fontId="11" numFmtId="0" xfId="0" applyAlignment="1" applyBorder="1" applyFill="1" applyFont="1">
      <alignment shrinkToFit="0" vertical="center" wrapText="1"/>
    </xf>
    <xf borderId="5" fillId="11" fontId="8" numFmtId="0" xfId="0" applyAlignment="1" applyBorder="1" applyFill="1" applyFont="1">
      <alignment shrinkToFit="0" vertical="top" wrapText="1"/>
    </xf>
    <xf borderId="6" fillId="11" fontId="14" numFmtId="0" xfId="0" applyAlignment="1" applyBorder="1" applyFill="1" applyFont="1">
      <alignment shrinkToFit="0" vertical="top" wrapText="1"/>
    </xf>
    <xf borderId="6" fillId="11" fontId="8" numFmtId="0" xfId="0" applyAlignment="1" applyBorder="1" applyFill="1" applyFont="1">
      <alignment shrinkToFit="0" vertical="top" wrapText="1"/>
    </xf>
    <xf borderId="6" fillId="11" fontId="8" numFmtId="0" xfId="0" applyAlignment="1" applyBorder="1" applyFill="1" applyFont="1">
      <alignment shrinkToFit="0" vertical="center" wrapText="1"/>
    </xf>
  </cellXfs>
  <cellStyles count="1">
    <cellStyle xfId="0" name="Normal" builtinId="0"/>
  </cellStyles>
  <dxfs count="0"/>
</styleSheet>
</file>

<file path=xl/_rels/workbook.xml.rels><?xml version="1.0" encoding="UTF-8" standalone="yes"?><Relationships xmlns="http://schemas.openxmlformats.org/package/2006/relationships"><Relationship Id="rId11" Type="http://schemas.openxmlformats.org/officeDocument/2006/relationships/worksheet" Target="worksheets/sheet8.xml"/><Relationship Id="rId10" Type="http://schemas.openxmlformats.org/officeDocument/2006/relationships/worksheet" Target="worksheets/sheet7.xml"/><Relationship Id="rId13" Type="http://schemas.openxmlformats.org/officeDocument/2006/relationships/worksheet" Target="worksheets/sheet10.xml"/><Relationship Id="rId12" Type="http://schemas.openxmlformats.org/officeDocument/2006/relationships/worksheet" Target="worksheets/sheet9.xml"/><Relationship Id="rId1" Type="http://schemas.openxmlformats.org/officeDocument/2006/relationships/theme" Target="theme/theme1.xml"/><Relationship Id="rId2" Type="http://schemas.openxmlformats.org/officeDocument/2006/relationships/styles" Target="styles.xml"/><Relationship Id="rId3" Type="http://schemas.openxmlformats.org/officeDocument/2006/relationships/sharedStrings" Target="sharedStrings.xml"/><Relationship Id="rId4" Type="http://schemas.openxmlformats.org/officeDocument/2006/relationships/worksheet" Target="worksheets/sheet1.xml"/><Relationship Id="rId9" Type="http://schemas.openxmlformats.org/officeDocument/2006/relationships/worksheet" Target="worksheets/sheet6.xml"/><Relationship Id="rId15" Type="http://schemas.openxmlformats.org/officeDocument/2006/relationships/worksheet" Target="worksheets/sheet12.xml"/><Relationship Id="rId14" Type="http://schemas.openxmlformats.org/officeDocument/2006/relationships/worksheet" Target="worksheets/sheet11.xml"/><Relationship Id="rId17" Type="http://schemas.openxmlformats.org/officeDocument/2006/relationships/worksheet" Target="worksheets/sheet14.xml"/><Relationship Id="rId16" Type="http://schemas.openxmlformats.org/officeDocument/2006/relationships/worksheet" Target="worksheets/sheet13.xml"/><Relationship Id="rId5" Type="http://schemas.openxmlformats.org/officeDocument/2006/relationships/worksheet" Target="worksheets/sheet2.xml"/><Relationship Id="rId19" Type="http://customschemas.google.com/relationships/workbookmetadata" Target="metadata"/><Relationship Id="rId6" Type="http://schemas.openxmlformats.org/officeDocument/2006/relationships/worksheet" Target="worksheets/sheet3.xml"/><Relationship Id="rId18" Type="http://schemas.openxmlformats.org/officeDocument/2006/relationships/worksheet" Target="worksheets/sheet15.xml"/><Relationship Id="rId7" Type="http://schemas.openxmlformats.org/officeDocument/2006/relationships/worksheet" Target="worksheets/sheet4.xml"/><Relationship Id="rId8" Type="http://schemas.openxmlformats.org/officeDocument/2006/relationships/worksheet" Target="worksheets/sheet5.xml"/></Relationships>
</file>

<file path=xl/drawings/drawing1.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2.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3.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4.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5.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6.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7.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8.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9.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10.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11.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12.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13.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14.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15.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theme/theme1.xml><?xml version="1.0" encoding="utf-8"?>
<a:theme xmlns:a="http://schemas.openxmlformats.org/drawingml/2006/main" xmlns:r="http://schemas.openxmlformats.org/officeDocument/2006/relationships"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5.xml"/></Relationships>
</file>

<file path=xl/worksheets/sheet1.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4.43" defaultRowHeight="15.0"/>
  <cols>
    <col customWidth="1" min="1" max="1" width="24.0"/>
    <col customWidth="1" min="2" max="2" width="86.0"/>
    <col customWidth="1" min="3" max="26" width="8.71"/>
  </cols>
  <sheetData>
    <row r="1" ht="27.75" customHeight="1">
      <c r="A1" s="2" t="s">
        <v>0</v>
      </c>
    </row>
    <row r="3" ht="37.5" customHeight="1">
      <c r="A3" s="14" t="s">
        <v>4</v>
      </c>
      <c r="B3" s="15" t="s">
        <v>0</v>
      </c>
    </row>
    <row r="4" ht="37.5" customHeight="1">
      <c r="A4" s="14" t="s">
        <v>29</v>
      </c>
      <c r="B4" s="15" t="s">
        <v>31</v>
      </c>
    </row>
    <row r="5" ht="37.5" customHeight="1">
      <c r="A5" s="14" t="s">
        <v>34</v>
      </c>
      <c r="B5" s="15" t="s">
        <v>36</v>
      </c>
    </row>
    <row r="6" ht="37.5" customHeight="1">
      <c r="A6" s="14" t="s">
        <v>38</v>
      </c>
      <c r="B6" s="15" t="s">
        <v>41</v>
      </c>
    </row>
    <row r="7" ht="57.75" customHeight="1">
      <c r="A7" s="14" t="s">
        <v>43</v>
      </c>
      <c r="B7" s="15" t="s">
        <v>45</v>
      </c>
    </row>
    <row r="8" ht="57.75" customHeight="1">
      <c r="A8" s="14" t="s">
        <v>47</v>
      </c>
      <c r="B8" s="15" t="s">
        <v>48</v>
      </c>
    </row>
    <row r="9" ht="57.75" customHeight="1">
      <c r="A9" s="14" t="s">
        <v>50</v>
      </c>
      <c r="B9" s="15" t="s">
        <v>52</v>
      </c>
    </row>
    <row r="10" ht="57.75" customHeight="1">
      <c r="A10" s="14" t="s">
        <v>53</v>
      </c>
      <c r="B10" s="15" t="s">
        <v>56</v>
      </c>
    </row>
    <row r="11" ht="57.75" customHeight="1">
      <c r="A11" s="14" t="s">
        <v>57</v>
      </c>
      <c r="B11" s="15" t="s">
        <v>58</v>
      </c>
    </row>
    <row r="12" ht="57.75" customHeight="1">
      <c r="A12" s="14" t="s">
        <v>59</v>
      </c>
      <c r="B12" s="15" t="s">
        <v>60</v>
      </c>
    </row>
    <row r="21" ht="15.75" customHeight="1"/>
    <row r="22" ht="15.75" customHeight="1"/>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1">
    <mergeCell ref="A1:B1"/>
  </mergeCells>
  <printOptions/>
  <pageMargins bottom="0.75" footer="0.0" header="0.0" left="0.7" right="0.7" top="0.75"/>
  <pageSetup orientation="landscape"/>
  <drawing r:id="rId1"/>
</worksheet>
</file>

<file path=xl/worksheets/sheet2.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showGridLines="0" workbookViewId="0"/>
  </sheetViews>
  <sheetFormatPr customHeight="1" defaultColWidth="14.43" defaultRowHeight="15.0"/>
  <cols>
    <col customWidth="1" min="1" max="1" width="110.0"/>
    <col customWidth="1" min="2" max="6" width="8.71"/>
  </cols>
  <sheetData>
    <row r="1" ht="16.5" customHeight="1">
      <c r="A1" s="1" t="s">
        <v>0</v>
      </c>
    </row>
    <row r="2" ht="15.0" customHeight="1">
      <c r="A2" s="7" t="s">
        <v>3</v>
      </c>
    </row>
    <row r="3" ht="15.0" customHeight="1">
      <c r="A3" s="10"/>
    </row>
    <row r="4" ht="15.0" customHeight="1">
      <c r="A4" s="12" t="s">
        <v>7</v>
      </c>
    </row>
    <row r="5" ht="72.0" customHeight="1">
      <c r="A5" s="10" t="s">
        <v>9</v>
      </c>
    </row>
    <row r="6" ht="15.0" customHeight="1">
      <c r="A6" s="10" t="s">
        <v>10</v>
      </c>
    </row>
    <row r="7" ht="15.0" customHeight="1">
      <c r="A7" s="10" t="s">
        <v>11</v>
      </c>
    </row>
    <row r="8" ht="15.0" customHeight="1">
      <c r="A8" s="10" t="s">
        <v>12</v>
      </c>
    </row>
    <row r="9" ht="15.0" customHeight="1">
      <c r="A9" s="10" t="s">
        <v>13</v>
      </c>
    </row>
    <row r="10" ht="24.0" customHeight="1">
      <c r="A10" s="10" t="s">
        <v>15</v>
      </c>
    </row>
    <row r="11" ht="36.0" customHeight="1">
      <c r="A11" s="10" t="s">
        <v>16</v>
      </c>
    </row>
    <row r="12" ht="36.0" customHeight="1">
      <c r="A12" s="10" t="s">
        <v>19</v>
      </c>
    </row>
    <row r="13" ht="15.0" customHeight="1">
      <c r="A13" s="12" t="s">
        <v>21</v>
      </c>
    </row>
    <row r="14" ht="15.0" customHeight="1">
      <c r="A14" s="10" t="s">
        <v>23</v>
      </c>
    </row>
    <row r="15" ht="15.0" customHeight="1">
      <c r="A15" s="10" t="s">
        <v>26</v>
      </c>
    </row>
    <row r="16" ht="15.0" customHeight="1">
      <c r="A16" s="10" t="s">
        <v>27</v>
      </c>
    </row>
    <row r="17" ht="15.0" customHeight="1">
      <c r="A17" s="10" t="s">
        <v>49</v>
      </c>
    </row>
    <row r="18" ht="15.0" customHeight="1">
      <c r="A18" s="18" t="s">
        <v>54</v>
      </c>
    </row>
    <row r="19" ht="15.0" customHeight="1">
      <c r="A19" s="10"/>
    </row>
    <row r="20" ht="15.0" customHeight="1">
      <c r="A20" s="20" t="s">
        <v>61</v>
      </c>
    </row>
    <row r="21" ht="24.0" customHeight="1">
      <c r="A21" s="10" t="s">
        <v>63</v>
      </c>
    </row>
    <row r="22" ht="15.0" customHeight="1">
      <c r="A22" s="10" t="s">
        <v>64</v>
      </c>
    </row>
    <row r="23" ht="15.0" customHeight="1">
      <c r="A23" s="22"/>
    </row>
    <row r="24" ht="15.0" customHeight="1">
      <c r="A24" s="24" t="s">
        <v>65</v>
      </c>
    </row>
    <row r="25" ht="21.0" customHeight="1">
      <c r="A25" s="25" t="s">
        <v>66</v>
      </c>
    </row>
    <row r="26" ht="15.0" customHeight="1">
      <c r="A26" s="25" t="s">
        <v>67</v>
      </c>
    </row>
    <row r="27" ht="15.0" customHeight="1">
      <c r="A27" s="22"/>
    </row>
    <row r="28" ht="15.0" customHeight="1">
      <c r="A28" s="24" t="s">
        <v>68</v>
      </c>
    </row>
    <row r="29" ht="15.0" customHeight="1">
      <c r="A29" s="25" t="s">
        <v>69</v>
      </c>
    </row>
    <row r="30" ht="21.0" customHeight="1">
      <c r="A30" s="25" t="s">
        <v>70</v>
      </c>
    </row>
    <row r="31" ht="15.0" customHeight="1">
      <c r="A31" s="22"/>
    </row>
    <row r="32" ht="15.0" customHeight="1">
      <c r="A32" s="24" t="s">
        <v>71</v>
      </c>
    </row>
    <row r="33" ht="21.0" customHeight="1">
      <c r="A33" s="25" t="s">
        <v>72</v>
      </c>
    </row>
    <row r="34" ht="21.0" customHeight="1">
      <c r="A34" s="25" t="s">
        <v>73</v>
      </c>
    </row>
    <row r="35" ht="21.0" customHeight="1">
      <c r="A35" s="25" t="s">
        <v>74</v>
      </c>
    </row>
    <row r="36" ht="66.0" customHeight="1">
      <c r="A36" s="22" t="s">
        <v>75</v>
      </c>
    </row>
    <row r="37" ht="26.25" customHeight="1">
      <c r="A37" s="22" t="s">
        <v>76</v>
      </c>
    </row>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printOptions/>
  <pageMargins bottom="0.75" footer="0.0" header="0.0" left="0.7" right="0.7" top="0.75"/>
  <pageSetup orientation="landscape"/>
  <drawing r:id="rId1"/>
</worksheet>
</file>

<file path=xl/worksheets/sheet3.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showGridLines="0" workbookViewId="0"/>
  </sheetViews>
  <sheetFormatPr customHeight="1" defaultColWidth="14.43" defaultRowHeight="15.0"/>
  <cols>
    <col customWidth="1" min="1" max="1" width="68.0"/>
    <col customWidth="1" min="2" max="2" width="42.0"/>
    <col customWidth="1" min="3" max="6" width="8.71"/>
  </cols>
  <sheetData>
    <row r="1" ht="15.0" customHeight="1">
      <c r="A1" s="3" t="s">
        <v>1</v>
      </c>
      <c r="B1" s="5"/>
    </row>
    <row r="2" ht="15.0" customHeight="1">
      <c r="A2" s="9" t="s">
        <v>5</v>
      </c>
      <c r="B2" s="11"/>
    </row>
    <row r="3" ht="32.25" customHeight="1">
      <c r="A3" s="9" t="s">
        <v>8</v>
      </c>
      <c r="B3" s="11"/>
    </row>
    <row r="4" ht="15.0" customHeight="1">
      <c r="A4" s="9" t="s">
        <v>18</v>
      </c>
      <c r="B4" s="11"/>
    </row>
    <row r="5" ht="15.0" customHeight="1">
      <c r="A5" s="9" t="s">
        <v>25</v>
      </c>
      <c r="B5" s="11"/>
    </row>
    <row r="6" ht="15.0" customHeight="1">
      <c r="A6" s="9" t="s">
        <v>30</v>
      </c>
      <c r="B6" s="11"/>
    </row>
    <row r="7" ht="15.0" customHeight="1">
      <c r="A7" s="9" t="s">
        <v>32</v>
      </c>
      <c r="B7" s="11"/>
    </row>
    <row r="8" ht="15.0" customHeight="1">
      <c r="A8" s="9" t="s">
        <v>35</v>
      </c>
      <c r="B8" s="11"/>
    </row>
    <row r="9" ht="15.0" customHeight="1">
      <c r="A9" s="9" t="s">
        <v>37</v>
      </c>
      <c r="B9" s="11"/>
    </row>
    <row r="10" ht="15.0" customHeight="1">
      <c r="A10" s="9" t="s">
        <v>39</v>
      </c>
      <c r="B10" s="11"/>
    </row>
    <row r="11" ht="15.0" customHeight="1">
      <c r="A11" s="9" t="s">
        <v>42</v>
      </c>
      <c r="B11" s="11"/>
    </row>
    <row r="12" ht="15.0" customHeight="1">
      <c r="A12" s="9" t="s">
        <v>44</v>
      </c>
      <c r="B12" s="11"/>
    </row>
    <row r="13" ht="15.0" customHeight="1">
      <c r="A13" s="9" t="s">
        <v>51</v>
      </c>
      <c r="B13" s="11"/>
    </row>
    <row r="14" ht="21.0" customHeight="1">
      <c r="A14" s="19" t="s">
        <v>55</v>
      </c>
      <c r="B14" s="21" t="s">
        <v>62</v>
      </c>
    </row>
    <row r="21" ht="15.75" customHeight="1"/>
    <row r="22" ht="15.75" customHeight="1"/>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1">
    <mergeCell ref="A1:B1"/>
  </mergeCells>
  <dataValidations>
    <dataValidation type="list" allowBlank="1" showInputMessage="1" showErrorMessage="1" prompt="Invalid Dimension 3 track - Select a value from the approved list." sqref="B14">
      <formula1>"Standard,KQP,EDGE"</formula1>
    </dataValidation>
    <dataValidation type="list" allowBlank="1" showInputMessage="1" showErrorMessage="1" prompt="Invalid vendor tier - Select a value from the approved list." sqref="B4">
      <formula1>"1,2,3"</formula1>
    </dataValidation>
    <dataValidation type="list" allowBlank="1" showInputMessage="1" showErrorMessage="1" prompt="Invalid vendor category - Select a value from the approved list." sqref="B3">
      <formula1>"Foundation Model Provider,Orchestration Platform / MCP Server,Tool Library / Data Integration Partner,Edge Inference Hardware,Command Authentication Proxy Hardware"</formula1>
    </dataValidation>
    <dataValidation type="list" allowBlank="1" showInputMessage="1" showErrorMessage="1" prompt="Invalid assessment type / trigger - Select Scheduled Reassessment, New Vendor, or Triggered Event." sqref="B12">
      <formula1>"Scheduled Reassessment,New Vendor,Triggered Event"</formula1>
    </dataValidation>
  </dataValidations>
  <printOptions/>
  <pageMargins bottom="0.75" footer="0.0" header="0.0" left="0.7" right="0.7" top="0.75"/>
  <pageSetup orientation="landscape"/>
  <drawing r:id="rId1"/>
</worksheet>
</file>

<file path=xl/worksheets/sheet4.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showGridLines="0" workbookViewId="0"/>
  </sheetViews>
  <sheetFormatPr customHeight="1" defaultColWidth="14.43" defaultRowHeight="15.0"/>
  <cols>
    <col customWidth="1" min="1" max="1" width="14.0"/>
    <col customWidth="1" min="2" max="2" width="54.0"/>
    <col customWidth="1" min="3" max="3" width="13.0"/>
    <col customWidth="1" min="4" max="4" width="18.0"/>
    <col customWidth="1" min="5" max="5" width="30.0"/>
    <col customWidth="1" min="6" max="6" width="34.0"/>
    <col customWidth="1" min="7" max="8" width="42.0"/>
  </cols>
  <sheetData>
    <row r="1" ht="15.0" customHeight="1">
      <c r="A1" s="4" t="s">
        <v>2</v>
      </c>
      <c r="B1" s="6"/>
      <c r="C1" s="6"/>
      <c r="D1" s="6"/>
      <c r="E1" s="6"/>
      <c r="F1" s="5"/>
      <c r="G1" s="8"/>
      <c r="H1" s="8"/>
    </row>
    <row r="2" ht="15.0" customHeight="1">
      <c r="A2" s="13" t="s">
        <v>6</v>
      </c>
      <c r="B2" s="13" t="s">
        <v>14</v>
      </c>
      <c r="C2" s="13" t="s">
        <v>17</v>
      </c>
      <c r="D2" s="13" t="s">
        <v>20</v>
      </c>
      <c r="E2" s="13" t="s">
        <v>22</v>
      </c>
      <c r="F2" s="13" t="s">
        <v>24</v>
      </c>
      <c r="G2" s="16" t="s">
        <v>28</v>
      </c>
      <c r="H2" s="16" t="s">
        <v>33</v>
      </c>
    </row>
    <row r="3" ht="32.25" customHeight="1">
      <c r="A3" s="9" t="s">
        <v>40</v>
      </c>
      <c r="B3" s="17" t="s">
        <v>46</v>
      </c>
      <c r="C3" s="23"/>
      <c r="D3" s="26" t="str">
        <f t="shared" ref="D3:D8" si="1">IF(C3="CF","YES - AUTO DISQUALIFIED","")</f>
        <v/>
      </c>
      <c r="E3" s="17"/>
      <c r="F3" s="17" t="s">
        <v>77</v>
      </c>
      <c r="G3" s="27" t="s">
        <v>78</v>
      </c>
      <c r="H3" s="27" t="s">
        <v>79</v>
      </c>
    </row>
    <row r="4" ht="21.0" customHeight="1">
      <c r="A4" s="9" t="s">
        <v>80</v>
      </c>
      <c r="B4" s="17" t="s">
        <v>81</v>
      </c>
      <c r="C4" s="23"/>
      <c r="D4" s="26" t="str">
        <f t="shared" si="1"/>
        <v/>
      </c>
      <c r="E4" s="17"/>
      <c r="F4" s="17" t="s">
        <v>82</v>
      </c>
      <c r="G4" s="27" t="s">
        <v>83</v>
      </c>
      <c r="H4" s="27" t="s">
        <v>84</v>
      </c>
    </row>
    <row r="5" ht="32.25" customHeight="1">
      <c r="A5" s="9" t="s">
        <v>85</v>
      </c>
      <c r="B5" s="17" t="s">
        <v>86</v>
      </c>
      <c r="C5" s="23"/>
      <c r="D5" s="26" t="str">
        <f t="shared" si="1"/>
        <v/>
      </c>
      <c r="E5" s="17"/>
      <c r="F5" s="17" t="s">
        <v>87</v>
      </c>
      <c r="G5" s="27" t="s">
        <v>88</v>
      </c>
      <c r="H5" s="27" t="s">
        <v>87</v>
      </c>
    </row>
    <row r="6" ht="32.25" customHeight="1">
      <c r="A6" s="9" t="s">
        <v>89</v>
      </c>
      <c r="B6" s="17" t="s">
        <v>90</v>
      </c>
      <c r="C6" s="23"/>
      <c r="D6" s="26" t="str">
        <f t="shared" si="1"/>
        <v/>
      </c>
      <c r="E6" s="17"/>
      <c r="F6" s="17" t="s">
        <v>91</v>
      </c>
      <c r="G6" s="27" t="s">
        <v>92</v>
      </c>
      <c r="H6" s="27" t="s">
        <v>93</v>
      </c>
    </row>
    <row r="7" ht="21.0" customHeight="1">
      <c r="A7" s="9" t="s">
        <v>94</v>
      </c>
      <c r="B7" s="17" t="s">
        <v>95</v>
      </c>
      <c r="C7" s="23"/>
      <c r="D7" s="26" t="str">
        <f t="shared" si="1"/>
        <v/>
      </c>
      <c r="E7" s="17"/>
      <c r="F7" s="17" t="s">
        <v>96</v>
      </c>
      <c r="G7" s="27" t="s">
        <v>97</v>
      </c>
      <c r="H7" s="27" t="s">
        <v>98</v>
      </c>
    </row>
    <row r="8" ht="52.5" customHeight="1">
      <c r="A8" s="22" t="s">
        <v>99</v>
      </c>
      <c r="B8" s="22" t="s">
        <v>100</v>
      </c>
      <c r="C8" s="22"/>
      <c r="D8" s="22" t="str">
        <f t="shared" si="1"/>
        <v/>
      </c>
      <c r="E8" s="22"/>
      <c r="F8" s="22" t="s">
        <v>101</v>
      </c>
      <c r="G8" s="22" t="s">
        <v>102</v>
      </c>
      <c r="H8" s="22" t="s">
        <v>103</v>
      </c>
    </row>
    <row r="9" ht="15.0" customHeight="1">
      <c r="A9" s="28" t="s">
        <v>104</v>
      </c>
      <c r="B9" s="5"/>
      <c r="C9" s="29">
        <f>IF(B10="N",IF(F10="",0,"N/A"),IF(OR(COUNTA(C3:C8)&lt;ROWS(C3:C8),COUNTIFS(C3:C8,"N/A",E3:E8,"=")&gt;0),0,IFERROR(AVERAGEIF(C3:C8,"&gt;=1",C3:C8),0)))</f>
        <v>0</v>
      </c>
      <c r="D9" s="30" t="str">
        <f>IF(B10="N","N/A",IF(COUNTIF(C3:C8,"CF")&gt;0,"CF PRESENT","None"))</f>
        <v>None</v>
      </c>
      <c r="E9" s="22"/>
      <c r="F9" s="22"/>
      <c r="G9" s="22"/>
      <c r="H9" s="22"/>
    </row>
    <row r="10" ht="26.25" customHeight="1">
      <c r="A10" s="22" t="s">
        <v>105</v>
      </c>
      <c r="B10" s="22" t="s">
        <v>106</v>
      </c>
      <c r="C10" s="22"/>
      <c r="D10" s="22"/>
      <c r="E10" s="22" t="s">
        <v>107</v>
      </c>
      <c r="F10" s="22"/>
      <c r="G10" s="22"/>
      <c r="H10" s="22"/>
    </row>
    <row r="21" ht="15.75" customHeight="1"/>
    <row r="22" ht="15.75" customHeight="1"/>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2">
    <mergeCell ref="A1:F1"/>
    <mergeCell ref="A9:B9"/>
  </mergeCells>
  <dataValidations>
    <dataValidation type="list" allowBlank="1" sqref="B10">
      <formula1>"Y,N"</formula1>
    </dataValidation>
    <dataValidation type="list" allowBlank="1" showInputMessage="1" showErrorMessage="1" prompt="Invalid assessment score - Select an allowed assessment value for this sub-dimension." sqref="C3:C8">
      <formula1>"1,2,3,4,N/A,CF"</formula1>
    </dataValidation>
  </dataValidations>
  <printOptions/>
  <pageMargins bottom="0.75" footer="0.0" header="0.0" left="0.7" right="0.7" top="0.75"/>
  <pageSetup orientation="landscape"/>
  <drawing r:id="rId1"/>
</worksheet>
</file>

<file path=xl/worksheets/sheet5.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showGridLines="0" workbookViewId="0"/>
  </sheetViews>
  <sheetFormatPr customHeight="1" defaultColWidth="14.43" defaultRowHeight="15.0"/>
  <cols>
    <col customWidth="1" min="1" max="1" width="14.0"/>
    <col customWidth="1" min="2" max="2" width="54.0"/>
    <col customWidth="1" min="3" max="3" width="13.0"/>
    <col customWidth="1" min="4" max="4" width="18.0"/>
    <col customWidth="1" min="5" max="5" width="30.0"/>
    <col customWidth="1" min="6" max="6" width="34.0"/>
    <col customWidth="1" min="7" max="8" width="42.0"/>
  </cols>
  <sheetData>
    <row r="1" ht="15.0" customHeight="1">
      <c r="A1" s="4" t="s">
        <v>108</v>
      </c>
      <c r="B1" s="6"/>
      <c r="C1" s="6"/>
      <c r="D1" s="6"/>
      <c r="E1" s="6"/>
      <c r="F1" s="5"/>
      <c r="G1" s="8"/>
      <c r="H1" s="8"/>
    </row>
    <row r="2" ht="15.0" customHeight="1">
      <c r="A2" s="13" t="s">
        <v>6</v>
      </c>
      <c r="B2" s="13" t="s">
        <v>14</v>
      </c>
      <c r="C2" s="13" t="s">
        <v>17</v>
      </c>
      <c r="D2" s="13" t="s">
        <v>20</v>
      </c>
      <c r="E2" s="13" t="s">
        <v>22</v>
      </c>
      <c r="F2" s="13" t="s">
        <v>24</v>
      </c>
      <c r="G2" s="16" t="s">
        <v>28</v>
      </c>
      <c r="H2" s="16" t="s">
        <v>33</v>
      </c>
    </row>
    <row r="3" ht="54.0" customHeight="1">
      <c r="A3" s="9" t="s">
        <v>111</v>
      </c>
      <c r="B3" s="17" t="s">
        <v>112</v>
      </c>
      <c r="C3" s="23"/>
      <c r="D3" s="26" t="str">
        <f t="shared" ref="D3:D6" si="1">IF(C3="CF","CF not defined for this sub-dimension","")</f>
        <v/>
      </c>
      <c r="E3" s="17"/>
      <c r="F3" s="17" t="s">
        <v>117</v>
      </c>
      <c r="G3" s="27" t="s">
        <v>118</v>
      </c>
      <c r="H3" s="27" t="s">
        <v>119</v>
      </c>
    </row>
    <row r="4" ht="32.25" customHeight="1">
      <c r="A4" s="9" t="s">
        <v>120</v>
      </c>
      <c r="B4" s="17" t="s">
        <v>121</v>
      </c>
      <c r="C4" s="23"/>
      <c r="D4" s="26" t="str">
        <f t="shared" si="1"/>
        <v/>
      </c>
      <c r="E4" s="17"/>
      <c r="F4" s="17" t="s">
        <v>124</v>
      </c>
      <c r="G4" s="27" t="s">
        <v>126</v>
      </c>
      <c r="H4" s="27" t="s">
        <v>128</v>
      </c>
    </row>
    <row r="5" ht="32.25" customHeight="1">
      <c r="A5" s="9" t="s">
        <v>131</v>
      </c>
      <c r="B5" s="17" t="s">
        <v>132</v>
      </c>
      <c r="C5" s="23"/>
      <c r="D5" s="26" t="str">
        <f t="shared" si="1"/>
        <v/>
      </c>
      <c r="E5" s="17"/>
      <c r="F5" s="17" t="s">
        <v>135</v>
      </c>
      <c r="G5" s="27" t="s">
        <v>137</v>
      </c>
      <c r="H5" s="27" t="s">
        <v>119</v>
      </c>
    </row>
    <row r="6" ht="32.25" customHeight="1">
      <c r="A6" s="9" t="s">
        <v>141</v>
      </c>
      <c r="B6" s="17" t="s">
        <v>143</v>
      </c>
      <c r="C6" s="23"/>
      <c r="D6" s="26" t="str">
        <f t="shared" si="1"/>
        <v/>
      </c>
      <c r="E6" s="17"/>
      <c r="F6" s="17" t="s">
        <v>146</v>
      </c>
      <c r="G6" s="27" t="s">
        <v>148</v>
      </c>
      <c r="H6" s="27" t="s">
        <v>128</v>
      </c>
    </row>
    <row r="7" ht="32.25" customHeight="1">
      <c r="A7" s="9" t="s">
        <v>151</v>
      </c>
      <c r="B7" s="17" t="s">
        <v>154</v>
      </c>
      <c r="C7" s="23"/>
      <c r="D7" s="26" t="str">
        <f t="shared" ref="D7:D8" si="2">IF(C7="CF","YES - AUTO DISQUALIFIED","")</f>
        <v/>
      </c>
      <c r="E7" s="17"/>
      <c r="F7" s="17" t="s">
        <v>159</v>
      </c>
      <c r="G7" s="27" t="s">
        <v>160</v>
      </c>
      <c r="H7" s="27" t="s">
        <v>161</v>
      </c>
    </row>
    <row r="8" ht="66.0" customHeight="1">
      <c r="A8" s="22" t="s">
        <v>162</v>
      </c>
      <c r="B8" s="22" t="s">
        <v>165</v>
      </c>
      <c r="C8" s="22"/>
      <c r="D8" s="22" t="str">
        <f t="shared" si="2"/>
        <v/>
      </c>
      <c r="E8" s="22"/>
      <c r="F8" s="22" t="s">
        <v>169</v>
      </c>
      <c r="G8" s="22" t="s">
        <v>170</v>
      </c>
      <c r="H8" s="22" t="s">
        <v>171</v>
      </c>
    </row>
    <row r="9" ht="15.0" customHeight="1">
      <c r="A9" s="28" t="s">
        <v>104</v>
      </c>
      <c r="B9" s="5"/>
      <c r="C9" s="29">
        <f>IF(B10="N",IF(F10="",0,"N/A"),IF(OR(COUNTA(C3:C8)&lt;ROWS(C3:C8),COUNTIFS(C3:C8,"N/A",E3:E8,"=")&gt;0,C3="CF",C4="CF",C5="CF",C6="CF"),0,IFERROR(AVERAGEIF(C3:C8,"&gt;=1",C3:C8),0)))</f>
        <v>0</v>
      </c>
      <c r="D9" s="30" t="str">
        <f>IF(B10="N","N/A",IF(OR(C7="CF",C8="CF"),"CF PRESENT","None"))</f>
        <v>None</v>
      </c>
      <c r="E9" s="22"/>
      <c r="F9" s="22"/>
      <c r="G9" s="22"/>
      <c r="H9" s="22"/>
    </row>
    <row r="10" ht="26.25" customHeight="1">
      <c r="A10" s="22" t="s">
        <v>105</v>
      </c>
      <c r="B10" s="22" t="s">
        <v>106</v>
      </c>
      <c r="C10" s="22"/>
      <c r="D10" s="22"/>
      <c r="E10" s="22" t="s">
        <v>107</v>
      </c>
      <c r="F10" s="22"/>
      <c r="G10" s="22"/>
      <c r="H10" s="22"/>
    </row>
    <row r="21" ht="15.75" customHeight="1"/>
    <row r="22" ht="15.75" customHeight="1"/>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2">
    <mergeCell ref="A1:F1"/>
    <mergeCell ref="A9:B9"/>
  </mergeCells>
  <dataValidations>
    <dataValidation type="list" allowBlank="1" sqref="B10">
      <formula1>"Y,N"</formula1>
    </dataValidation>
    <dataValidation type="list" allowBlank="1" showInputMessage="1" showErrorMessage="1" prompt="Invalid assessment score - Select an allowed assessment value for this sub-dimension." sqref="C7:C8">
      <formula1>"1,2,3,4,N/A,CF"</formula1>
    </dataValidation>
    <dataValidation type="list" allowBlank="1" showInputMessage="1" showErrorMessage="1" prompt="Invalid assessment score - Select an allowed assessment value for this sub-dimension." sqref="C3 C5">
      <formula1>"1,2,3,4,N/A"</formula1>
    </dataValidation>
    <dataValidation type="list" allowBlank="1" showInputMessage="1" showErrorMessage="1" prompt="Invalid score - Select 1, 2, 3, 4, or N/A. CF is not defined for this sub-dimension." sqref="C4 C6">
      <formula1>"1,2,3,4,N/A"</formula1>
    </dataValidation>
  </dataValidations>
  <printOptions/>
  <pageMargins bottom="0.75" footer="0.0" header="0.0" left="0.7" right="0.7" top="0.75"/>
  <pageSetup orientation="landscape"/>
  <drawing r:id="rId1"/>
</worksheet>
</file>

<file path=xl/worksheets/sheet6.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showGridLines="0" workbookViewId="0"/>
  </sheetViews>
  <sheetFormatPr customHeight="1" defaultColWidth="14.43" defaultRowHeight="15.0"/>
  <cols>
    <col customWidth="1" min="1" max="1" width="14.0"/>
    <col customWidth="1" min="2" max="2" width="54.0"/>
    <col customWidth="1" min="3" max="3" width="13.0"/>
    <col customWidth="1" min="4" max="4" width="18.0"/>
    <col customWidth="1" min="5" max="5" width="30.0"/>
    <col customWidth="1" min="6" max="6" width="34.0"/>
    <col customWidth="1" min="7" max="8" width="42.0"/>
  </cols>
  <sheetData>
    <row r="1" ht="15.0" customHeight="1">
      <c r="A1" s="4" t="s">
        <v>109</v>
      </c>
      <c r="B1" s="6"/>
      <c r="C1" s="6"/>
      <c r="D1" s="6"/>
      <c r="E1" s="6"/>
      <c r="F1" s="5"/>
      <c r="G1" s="8"/>
      <c r="H1" s="8"/>
    </row>
    <row r="2" ht="15.0" customHeight="1">
      <c r="A2" s="13" t="s">
        <v>6</v>
      </c>
      <c r="B2" s="13" t="s">
        <v>14</v>
      </c>
      <c r="C2" s="13" t="s">
        <v>17</v>
      </c>
      <c r="D2" s="13" t="s">
        <v>20</v>
      </c>
      <c r="E2" s="13" t="s">
        <v>22</v>
      </c>
      <c r="F2" s="13" t="s">
        <v>24</v>
      </c>
      <c r="G2" s="16" t="s">
        <v>28</v>
      </c>
      <c r="H2" s="16" t="s">
        <v>33</v>
      </c>
    </row>
    <row r="3" ht="64.5" customHeight="1">
      <c r="A3" s="9" t="s">
        <v>113</v>
      </c>
      <c r="B3" s="17" t="s">
        <v>115</v>
      </c>
      <c r="C3" s="23"/>
      <c r="D3" s="26" t="str">
        <f t="shared" ref="D3:D4" si="1">IF(C3="CF","YES - AUTO DISQUALIFIED","")</f>
        <v/>
      </c>
      <c r="E3" s="17"/>
      <c r="F3" s="17" t="s">
        <v>129</v>
      </c>
      <c r="G3" s="27" t="s">
        <v>133</v>
      </c>
      <c r="H3" s="27" t="s">
        <v>134</v>
      </c>
    </row>
    <row r="4" ht="42.75" customHeight="1">
      <c r="A4" s="9" t="s">
        <v>136</v>
      </c>
      <c r="B4" s="17" t="s">
        <v>139</v>
      </c>
      <c r="C4" s="23"/>
      <c r="D4" s="26" t="str">
        <f t="shared" si="1"/>
        <v/>
      </c>
      <c r="E4" s="17"/>
      <c r="F4" s="17" t="s">
        <v>147</v>
      </c>
      <c r="G4" s="27" t="s">
        <v>149</v>
      </c>
      <c r="H4" s="27" t="s">
        <v>150</v>
      </c>
    </row>
    <row r="5" ht="32.25" customHeight="1">
      <c r="A5" s="9" t="s">
        <v>153</v>
      </c>
      <c r="B5" s="17" t="s">
        <v>156</v>
      </c>
      <c r="C5" s="23"/>
      <c r="D5" s="26" t="str">
        <f>IF(C5="CF","CF not defined for this sub-dimension","")</f>
        <v/>
      </c>
      <c r="E5" s="17"/>
      <c r="F5" s="17" t="s">
        <v>174</v>
      </c>
      <c r="G5" s="27" t="s">
        <v>175</v>
      </c>
      <c r="H5" s="27" t="s">
        <v>128</v>
      </c>
    </row>
    <row r="6" ht="52.5" customHeight="1">
      <c r="A6" s="22" t="s">
        <v>176</v>
      </c>
      <c r="B6" s="22" t="s">
        <v>177</v>
      </c>
      <c r="C6" s="22"/>
      <c r="D6" s="22" t="str">
        <f t="shared" ref="D6:D7" si="2">IF(C6="CF","YES - AUTO DISQUALIFIED","")</f>
        <v/>
      </c>
      <c r="E6" s="22"/>
      <c r="F6" s="22" t="s">
        <v>178</v>
      </c>
      <c r="G6" s="22" t="s">
        <v>179</v>
      </c>
      <c r="H6" s="22" t="s">
        <v>180</v>
      </c>
    </row>
    <row r="7" ht="78.75" customHeight="1">
      <c r="A7" s="31" t="s">
        <v>181</v>
      </c>
      <c r="B7" s="31" t="s">
        <v>182</v>
      </c>
      <c r="C7" s="32"/>
      <c r="D7" s="30" t="str">
        <f t="shared" si="2"/>
        <v/>
      </c>
      <c r="E7" s="22"/>
      <c r="F7" s="22" t="s">
        <v>183</v>
      </c>
      <c r="G7" s="22" t="s">
        <v>184</v>
      </c>
      <c r="H7" s="22" t="s">
        <v>185</v>
      </c>
    </row>
    <row r="8" ht="26.25" customHeight="1">
      <c r="A8" s="22" t="s">
        <v>104</v>
      </c>
      <c r="B8" s="22"/>
      <c r="C8" s="33">
        <f>IF(B9="N",IF(F9="",0,"N/A"),IF(OR(COUNTA(C3:C7)&lt;ROWS(C3:C7),COUNTIFS(C3:C7,"N/A",E3:E7,"=")&gt;0,C5="CF"),0,IFERROR(AVERAGEIF(C3:C7,"&gt;=1",C3:C7),0)))</f>
        <v>0</v>
      </c>
      <c r="D8" s="22" t="str">
        <f>IF(B9="N","N/A",IF(OR(C3="CF",C4="CF",C6="CF",C7="CF"),"CF PRESENT","None"))</f>
        <v>None</v>
      </c>
      <c r="E8" s="22"/>
      <c r="F8" s="22"/>
      <c r="G8" s="22"/>
      <c r="H8" s="22"/>
    </row>
    <row r="9" ht="26.25" customHeight="1">
      <c r="A9" s="22" t="s">
        <v>105</v>
      </c>
      <c r="B9" s="22" t="s">
        <v>106</v>
      </c>
      <c r="C9" s="22"/>
      <c r="D9" s="22"/>
      <c r="E9" s="22" t="s">
        <v>107</v>
      </c>
      <c r="F9" s="22"/>
      <c r="G9" s="22"/>
      <c r="H9" s="22"/>
    </row>
    <row r="21" ht="15.75" customHeight="1"/>
    <row r="22" ht="15.75" customHeight="1"/>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1">
    <mergeCell ref="A1:F1"/>
  </mergeCells>
  <dataValidations>
    <dataValidation type="list" allowBlank="1" sqref="B9">
      <formula1>"Y,N"</formula1>
    </dataValidation>
    <dataValidation type="list" allowBlank="1" showInputMessage="1" showErrorMessage="1" prompt="Invalid assessment score - Select an allowed assessment value for this sub-dimension." sqref="C3:C4 C6:C7">
      <formula1>"1,2,3,4,N/A,CF"</formula1>
    </dataValidation>
    <dataValidation type="list" allowBlank="1" showInputMessage="1" showErrorMessage="1" prompt="Invalid score - Select 1, 2, 3, 4, or N/A. CF is not defined for this sub-dimension." sqref="C5">
      <formula1>"1,2,3,4,N/A"</formula1>
    </dataValidation>
  </dataValidations>
  <printOptions/>
  <pageMargins bottom="0.75" footer="0.0" header="0.0" left="0.7" right="0.7" top="0.75"/>
  <pageSetup orientation="landscape"/>
  <drawing r:id="rId1"/>
</worksheet>
</file>

<file path=xl/worksheets/sheet7.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showGridLines="0" workbookViewId="0"/>
  </sheetViews>
  <sheetFormatPr customHeight="1" defaultColWidth="14.43" defaultRowHeight="15.0"/>
  <cols>
    <col customWidth="1" min="1" max="1" width="14.0"/>
    <col customWidth="1" min="2" max="2" width="54.0"/>
    <col customWidth="1" min="3" max="3" width="13.0"/>
    <col customWidth="1" min="4" max="4" width="18.0"/>
    <col customWidth="1" min="5" max="5" width="30.0"/>
    <col customWidth="1" min="6" max="6" width="34.0"/>
    <col customWidth="1" min="7" max="8" width="42.0"/>
  </cols>
  <sheetData>
    <row r="1" ht="15.0" customHeight="1">
      <c r="A1" s="4" t="s">
        <v>110</v>
      </c>
      <c r="B1" s="6"/>
      <c r="C1" s="6"/>
      <c r="D1" s="6"/>
      <c r="E1" s="6"/>
      <c r="F1" s="5"/>
      <c r="G1" s="8"/>
      <c r="H1" s="8"/>
    </row>
    <row r="2" ht="15.0" customHeight="1">
      <c r="A2" s="13" t="s">
        <v>6</v>
      </c>
      <c r="B2" s="13" t="s">
        <v>14</v>
      </c>
      <c r="C2" s="13" t="s">
        <v>17</v>
      </c>
      <c r="D2" s="13" t="s">
        <v>20</v>
      </c>
      <c r="E2" s="13" t="s">
        <v>22</v>
      </c>
      <c r="F2" s="13" t="s">
        <v>24</v>
      </c>
      <c r="G2" s="16" t="s">
        <v>28</v>
      </c>
      <c r="H2" s="16" t="s">
        <v>33</v>
      </c>
    </row>
    <row r="3" ht="86.25" customHeight="1">
      <c r="A3" s="9" t="s">
        <v>114</v>
      </c>
      <c r="B3" s="17" t="s">
        <v>116</v>
      </c>
      <c r="C3" s="23"/>
      <c r="D3" s="26" t="str">
        <f t="shared" ref="D3:D5" si="1">IF(C3="CF","YES - AUTO DISQUALIFIED","")</f>
        <v/>
      </c>
      <c r="E3" s="17"/>
      <c r="F3" s="17" t="s">
        <v>122</v>
      </c>
      <c r="G3" s="27" t="s">
        <v>123</v>
      </c>
      <c r="H3" s="27" t="s">
        <v>125</v>
      </c>
    </row>
    <row r="4" ht="54.0" customHeight="1">
      <c r="A4" s="9" t="s">
        <v>127</v>
      </c>
      <c r="B4" s="17" t="s">
        <v>130</v>
      </c>
      <c r="C4" s="23"/>
      <c r="D4" s="26" t="str">
        <f t="shared" si="1"/>
        <v/>
      </c>
      <c r="E4" s="17"/>
      <c r="F4" s="17" t="s">
        <v>138</v>
      </c>
      <c r="G4" s="27" t="s">
        <v>140</v>
      </c>
      <c r="H4" s="27" t="s">
        <v>142</v>
      </c>
    </row>
    <row r="5" ht="42.75" customHeight="1">
      <c r="A5" s="9" t="s">
        <v>144</v>
      </c>
      <c r="B5" s="17" t="s">
        <v>145</v>
      </c>
      <c r="C5" s="23"/>
      <c r="D5" s="26" t="str">
        <f t="shared" si="1"/>
        <v/>
      </c>
      <c r="E5" s="17"/>
      <c r="F5" s="17" t="s">
        <v>152</v>
      </c>
      <c r="G5" s="27" t="s">
        <v>155</v>
      </c>
      <c r="H5" s="27" t="s">
        <v>152</v>
      </c>
    </row>
    <row r="6" ht="32.25" customHeight="1">
      <c r="A6" s="9" t="s">
        <v>157</v>
      </c>
      <c r="B6" s="17" t="s">
        <v>158</v>
      </c>
      <c r="C6" s="23"/>
      <c r="D6" s="26" t="str">
        <f t="shared" ref="D6:D7" si="2">IF(C6="CF","CF not defined for this sub-dimension","")</f>
        <v/>
      </c>
      <c r="E6" s="17"/>
      <c r="F6" s="17" t="s">
        <v>163</v>
      </c>
      <c r="G6" s="27" t="s">
        <v>164</v>
      </c>
      <c r="H6" s="27" t="s">
        <v>166</v>
      </c>
    </row>
    <row r="7" ht="32.25" customHeight="1">
      <c r="A7" s="9" t="s">
        <v>167</v>
      </c>
      <c r="B7" s="17" t="s">
        <v>168</v>
      </c>
      <c r="C7" s="23"/>
      <c r="D7" s="26" t="str">
        <f t="shared" si="2"/>
        <v/>
      </c>
      <c r="E7" s="17"/>
      <c r="F7" s="17" t="s">
        <v>172</v>
      </c>
      <c r="G7" s="27" t="s">
        <v>173</v>
      </c>
      <c r="H7" s="27" t="s">
        <v>166</v>
      </c>
    </row>
    <row r="8" ht="15.0" customHeight="1">
      <c r="A8" s="22"/>
      <c r="B8" s="22"/>
      <c r="C8" s="22"/>
      <c r="D8" s="22"/>
      <c r="E8" s="22"/>
      <c r="F8" s="22"/>
      <c r="G8" s="22"/>
      <c r="H8" s="22"/>
    </row>
    <row r="9" ht="15.0" customHeight="1">
      <c r="A9" s="28" t="s">
        <v>104</v>
      </c>
      <c r="B9" s="5"/>
      <c r="C9" s="29">
        <f>IF(B10="N",IF(F10="",0,"N/A"),IF(OR(COUNTA(C3:C7)&lt;ROWS(C3:C7),COUNTIFS(C3:C7,"N/A",E3:E7,"=")&gt;0,C6="CF",C7="CF"),0,IFERROR(AVERAGEIF(C3:C7,"&gt;=1",C3:C7),0)))</f>
        <v>0</v>
      </c>
      <c r="D9" s="30" t="str">
        <f>IF(B10="N","N/A",IF(OR(C3="CF",C4="CF",C5="CF"),"CF PRESENT","None"))</f>
        <v>None</v>
      </c>
      <c r="E9" s="22"/>
      <c r="F9" s="22"/>
      <c r="G9" s="22"/>
      <c r="H9" s="22"/>
    </row>
    <row r="10" ht="26.25" customHeight="1">
      <c r="A10" s="22" t="s">
        <v>105</v>
      </c>
      <c r="B10" s="22" t="s">
        <v>106</v>
      </c>
      <c r="C10" s="22"/>
      <c r="D10" s="22"/>
      <c r="E10" s="22" t="s">
        <v>107</v>
      </c>
      <c r="F10" s="22"/>
      <c r="G10" s="22"/>
      <c r="H10" s="22"/>
    </row>
    <row r="21" ht="15.75" customHeight="1"/>
    <row r="22" ht="15.75" customHeight="1"/>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2">
    <mergeCell ref="A1:F1"/>
    <mergeCell ref="A9:B9"/>
  </mergeCells>
  <dataValidations>
    <dataValidation type="list" allowBlank="1" sqref="B10">
      <formula1>"Y,N"</formula1>
    </dataValidation>
    <dataValidation type="list" allowBlank="1" showInputMessage="1" showErrorMessage="1" prompt="Invalid assessment score - Select an allowed assessment value for this sub-dimension." sqref="C3:C5">
      <formula1>"1,2,3,4,N/A,CF"</formula1>
    </dataValidation>
    <dataValidation type="list" allowBlank="1" showInputMessage="1" showErrorMessage="1" prompt="Invalid assessment score - Select an allowed assessment value for this sub-dimension." sqref="C6:C7">
      <formula1>"1,2,3,4,N/A"</formula1>
    </dataValidation>
  </dataValidations>
  <printOptions/>
  <pageMargins bottom="0.75" footer="0.0" header="0.0" left="0.7" right="0.7" top="0.75"/>
  <pageSetup orientation="landscape"/>
  <drawing r:id="rId1"/>
</worksheet>
</file>

<file path=xl/worksheets/sheet8.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showGridLines="0" workbookViewId="0"/>
  </sheetViews>
  <sheetFormatPr customHeight="1" defaultColWidth="14.43" defaultRowHeight="15.0"/>
  <cols>
    <col customWidth="1" min="1" max="1" width="14.0"/>
    <col customWidth="1" min="2" max="2" width="54.0"/>
    <col customWidth="1" min="3" max="3" width="13.0"/>
    <col customWidth="1" min="4" max="4" width="18.0"/>
    <col customWidth="1" min="5" max="5" width="30.0"/>
    <col customWidth="1" min="6" max="6" width="34.0"/>
    <col customWidth="1" min="7" max="8" width="42.0"/>
  </cols>
  <sheetData>
    <row r="1" ht="15.0" customHeight="1">
      <c r="A1" s="4" t="s">
        <v>186</v>
      </c>
      <c r="B1" s="6"/>
      <c r="C1" s="6"/>
      <c r="D1" s="6"/>
      <c r="E1" s="6"/>
      <c r="F1" s="5"/>
      <c r="G1" s="8"/>
      <c r="H1" s="8"/>
    </row>
    <row r="2" ht="15.0" customHeight="1">
      <c r="A2" s="13" t="s">
        <v>6</v>
      </c>
      <c r="B2" s="13" t="s">
        <v>14</v>
      </c>
      <c r="C2" s="13" t="s">
        <v>17</v>
      </c>
      <c r="D2" s="13" t="s">
        <v>20</v>
      </c>
      <c r="E2" s="13" t="s">
        <v>22</v>
      </c>
      <c r="F2" s="13" t="s">
        <v>24</v>
      </c>
      <c r="G2" s="16" t="s">
        <v>28</v>
      </c>
      <c r="H2" s="16" t="s">
        <v>33</v>
      </c>
    </row>
    <row r="3" ht="42.75" customHeight="1">
      <c r="A3" s="9" t="s">
        <v>187</v>
      </c>
      <c r="B3" s="17" t="s">
        <v>188</v>
      </c>
      <c r="C3" s="23"/>
      <c r="D3" s="26" t="str">
        <f t="shared" ref="D3:D5" si="1">IF(C3="CF","YES - AUTO DISQUALIFIED","")</f>
        <v/>
      </c>
      <c r="E3" s="17"/>
      <c r="F3" s="17" t="s">
        <v>189</v>
      </c>
      <c r="G3" s="27" t="s">
        <v>190</v>
      </c>
      <c r="H3" s="27" t="s">
        <v>191</v>
      </c>
    </row>
    <row r="4" ht="54.0" customHeight="1">
      <c r="A4" s="9" t="s">
        <v>192</v>
      </c>
      <c r="B4" s="17" t="s">
        <v>193</v>
      </c>
      <c r="C4" s="23"/>
      <c r="D4" s="26" t="str">
        <f t="shared" si="1"/>
        <v/>
      </c>
      <c r="E4" s="17"/>
      <c r="F4" s="17" t="s">
        <v>194</v>
      </c>
      <c r="G4" s="27" t="s">
        <v>195</v>
      </c>
      <c r="H4" s="27" t="s">
        <v>196</v>
      </c>
    </row>
    <row r="5" ht="42.75" customHeight="1">
      <c r="A5" s="9" t="s">
        <v>197</v>
      </c>
      <c r="B5" s="17" t="s">
        <v>198</v>
      </c>
      <c r="C5" s="23"/>
      <c r="D5" s="26" t="str">
        <f t="shared" si="1"/>
        <v/>
      </c>
      <c r="E5" s="17"/>
      <c r="F5" s="17" t="s">
        <v>199</v>
      </c>
      <c r="G5" s="27" t="s">
        <v>200</v>
      </c>
      <c r="H5" s="27" t="s">
        <v>201</v>
      </c>
    </row>
    <row r="6" ht="52.5" customHeight="1">
      <c r="A6" s="22" t="s">
        <v>202</v>
      </c>
      <c r="B6" s="22" t="s">
        <v>203</v>
      </c>
      <c r="C6" s="22"/>
      <c r="D6" s="22" t="str">
        <f>IF(C6="CF","CF not defined for this sub-dimension","")</f>
        <v/>
      </c>
      <c r="E6" s="22"/>
      <c r="F6" s="22" t="s">
        <v>205</v>
      </c>
      <c r="G6" s="22" t="s">
        <v>206</v>
      </c>
      <c r="H6" s="22" t="s">
        <v>207</v>
      </c>
    </row>
    <row r="7" ht="15.0" customHeight="1">
      <c r="A7" s="28" t="s">
        <v>104</v>
      </c>
      <c r="B7" s="5"/>
      <c r="C7" s="29">
        <f>IF(B8="N",IF(F8="",0,"N/A"),IF(OR(COUNTA(C3:C6)&lt;ROWS(C3:C6),COUNTIFS(C3:C6,"N/A",E3:E6,"=")&gt;0,C6="CF"),0,IFERROR(AVERAGEIF(C3:C6,"&gt;=1",C3:C6),0)))</f>
        <v>0</v>
      </c>
      <c r="D7" s="30" t="str">
        <f>IF(B8="N","N/A",IF(OR(C3="CF",C4="CF",C5="CF"),"CF PRESENT","None"))</f>
        <v>None</v>
      </c>
      <c r="E7" s="22"/>
      <c r="F7" s="22"/>
      <c r="G7" s="22"/>
      <c r="H7" s="22"/>
    </row>
    <row r="8" ht="26.25" customHeight="1">
      <c r="A8" s="22" t="s">
        <v>105</v>
      </c>
      <c r="B8" s="22" t="s">
        <v>106</v>
      </c>
      <c r="C8" s="22"/>
      <c r="D8" s="22"/>
      <c r="E8" s="22" t="s">
        <v>107</v>
      </c>
      <c r="F8" s="22"/>
      <c r="G8" s="22"/>
      <c r="H8" s="22"/>
    </row>
    <row r="21" ht="15.75" customHeight="1"/>
    <row r="22" ht="15.75" customHeight="1"/>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2">
    <mergeCell ref="A1:F1"/>
    <mergeCell ref="A7:B7"/>
  </mergeCells>
  <dataValidations>
    <dataValidation type="list" allowBlank="1" sqref="B8">
      <formula1>"Y,N"</formula1>
    </dataValidation>
    <dataValidation type="list" allowBlank="1" showInputMessage="1" showErrorMessage="1" prompt="Invalid assessment score - Select an allowed assessment value for this sub-dimension." sqref="C3:C5">
      <formula1>"1,2,3,4,N/A,CF"</formula1>
    </dataValidation>
    <dataValidation type="list" allowBlank="1" showInputMessage="1" showErrorMessage="1" prompt="Invalid assessment score - Select an allowed assessment value for this sub-dimension." sqref="C6">
      <formula1>"1,2,3,4,N/A"</formula1>
    </dataValidation>
  </dataValidations>
  <printOptions/>
  <pageMargins bottom="0.75" footer="0.0" header="0.0" left="0.7" right="0.7" top="0.75"/>
  <pageSetup orientation="landscape"/>
  <drawing r:id="rId1"/>
</worksheet>
</file>

<file path=xl/worksheets/sheet9.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showGridLines="0" workbookViewId="0"/>
  </sheetViews>
  <sheetFormatPr customHeight="1" defaultColWidth="14.43" defaultRowHeight="15.0"/>
  <cols>
    <col customWidth="1" min="1" max="1" width="14.0"/>
    <col customWidth="1" min="2" max="2" width="54.0"/>
    <col customWidth="1" min="3" max="3" width="13.0"/>
    <col customWidth="1" min="4" max="4" width="18.0"/>
    <col customWidth="1" min="5" max="5" width="30.0"/>
    <col customWidth="1" min="6" max="6" width="34.0"/>
    <col customWidth="1" min="7" max="8" width="42.0"/>
  </cols>
  <sheetData>
    <row r="1" ht="15.0" customHeight="1">
      <c r="A1" s="4" t="s">
        <v>204</v>
      </c>
      <c r="B1" s="6"/>
      <c r="C1" s="6"/>
      <c r="D1" s="6"/>
      <c r="E1" s="6"/>
      <c r="F1" s="5"/>
      <c r="G1" s="8"/>
      <c r="H1" s="8"/>
    </row>
    <row r="2" ht="15.0" customHeight="1">
      <c r="A2" s="13" t="s">
        <v>6</v>
      </c>
      <c r="B2" s="13" t="s">
        <v>14</v>
      </c>
      <c r="C2" s="13" t="s">
        <v>17</v>
      </c>
      <c r="D2" s="13" t="s">
        <v>20</v>
      </c>
      <c r="E2" s="13" t="s">
        <v>22</v>
      </c>
      <c r="F2" s="13" t="s">
        <v>24</v>
      </c>
      <c r="G2" s="16" t="s">
        <v>28</v>
      </c>
      <c r="H2" s="16" t="s">
        <v>33</v>
      </c>
    </row>
    <row r="3" ht="42.75" customHeight="1">
      <c r="A3" s="9" t="s">
        <v>209</v>
      </c>
      <c r="B3" s="17" t="s">
        <v>210</v>
      </c>
      <c r="C3" s="23"/>
      <c r="D3" s="26" t="str">
        <f>IF(C3="CF","CF not defined for this sub-dimension","")</f>
        <v/>
      </c>
      <c r="E3" s="17"/>
      <c r="F3" s="17" t="s">
        <v>215</v>
      </c>
      <c r="G3" s="27" t="s">
        <v>216</v>
      </c>
      <c r="H3" s="27" t="s">
        <v>217</v>
      </c>
    </row>
    <row r="4" ht="42.75" customHeight="1">
      <c r="A4" s="9" t="s">
        <v>218</v>
      </c>
      <c r="B4" s="17" t="s">
        <v>219</v>
      </c>
      <c r="C4" s="23"/>
      <c r="D4" s="26" t="str">
        <f t="shared" ref="D4:D6" si="1">IF(C4="CF","YES - AUTO DISQUALIFIED","")</f>
        <v/>
      </c>
      <c r="E4" s="17"/>
      <c r="F4" s="17" t="s">
        <v>220</v>
      </c>
      <c r="G4" s="27" t="s">
        <v>221</v>
      </c>
      <c r="H4" s="27" t="s">
        <v>223</v>
      </c>
    </row>
    <row r="5" ht="32.25" customHeight="1">
      <c r="A5" s="9" t="s">
        <v>224</v>
      </c>
      <c r="B5" s="17" t="s">
        <v>225</v>
      </c>
      <c r="C5" s="23"/>
      <c r="D5" s="26" t="str">
        <f t="shared" si="1"/>
        <v/>
      </c>
      <c r="E5" s="17"/>
      <c r="F5" s="17" t="s">
        <v>226</v>
      </c>
      <c r="G5" s="27" t="s">
        <v>227</v>
      </c>
      <c r="H5" s="27" t="s">
        <v>228</v>
      </c>
    </row>
    <row r="6" ht="52.5" customHeight="1">
      <c r="A6" s="22" t="s">
        <v>229</v>
      </c>
      <c r="B6" s="22" t="s">
        <v>230</v>
      </c>
      <c r="C6" s="22"/>
      <c r="D6" s="22" t="str">
        <f t="shared" si="1"/>
        <v/>
      </c>
      <c r="E6" s="22"/>
      <c r="F6" s="22" t="s">
        <v>231</v>
      </c>
      <c r="G6" s="22" t="s">
        <v>233</v>
      </c>
      <c r="H6" s="22" t="s">
        <v>234</v>
      </c>
    </row>
    <row r="7" ht="52.5" customHeight="1">
      <c r="A7" s="31" t="s">
        <v>235</v>
      </c>
      <c r="B7" s="31" t="s">
        <v>236</v>
      </c>
      <c r="C7" s="32"/>
      <c r="D7" s="30" t="str">
        <f>IF(C7="CF","CF not defined for this sub-dimension","")</f>
        <v/>
      </c>
      <c r="E7" s="22"/>
      <c r="F7" s="22" t="s">
        <v>237</v>
      </c>
      <c r="G7" s="22" t="s">
        <v>238</v>
      </c>
      <c r="H7" s="22" t="s">
        <v>239</v>
      </c>
    </row>
    <row r="8" ht="26.25" customHeight="1">
      <c r="A8" s="22" t="s">
        <v>104</v>
      </c>
      <c r="B8" s="22"/>
      <c r="C8" s="33">
        <f>IF(B9="N",IF(F9="",0,"N/A"),IF(OR(COUNTA(C3:C7)&lt;ROWS(C3:C7),COUNTIFS(C3:C7,"N/A",E3:E7,"=")&gt;0,C3="CF",C7="CF"),0,IFERROR(AVERAGEIF(C3:C7,"&gt;=1",C3:C7),0)))</f>
        <v>0</v>
      </c>
      <c r="D8" s="22" t="str">
        <f>IF(B9="N","N/A",IF(OR(C4="CF",C5="CF",C6="CF"),"CF PRESENT","None"))</f>
        <v>None</v>
      </c>
      <c r="E8" s="22"/>
      <c r="F8" s="22"/>
      <c r="G8" s="22"/>
      <c r="H8" s="22"/>
    </row>
    <row r="9" ht="26.25" customHeight="1">
      <c r="A9" s="22" t="s">
        <v>105</v>
      </c>
      <c r="B9" s="22" t="s">
        <v>106</v>
      </c>
      <c r="C9" s="22"/>
      <c r="D9" s="22"/>
      <c r="E9" s="22" t="s">
        <v>107</v>
      </c>
      <c r="F9" s="22"/>
      <c r="G9" s="22"/>
      <c r="H9" s="22"/>
    </row>
    <row r="21" ht="15.75" customHeight="1"/>
    <row r="22" ht="15.75" customHeight="1"/>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1">
    <mergeCell ref="A1:F1"/>
  </mergeCells>
  <dataValidations>
    <dataValidation type="list" allowBlank="1" sqref="B9">
      <formula1>"Y,N"</formula1>
    </dataValidation>
    <dataValidation type="list" allowBlank="1" showInputMessage="1" showErrorMessage="1" prompt="Invalid assessment score - Select an allowed assessment value for this sub-dimension." sqref="C4:C6">
      <formula1>"1,2,3,4,N/A,CF"</formula1>
    </dataValidation>
    <dataValidation type="list" allowBlank="1" showInputMessage="1" showErrorMessage="1" prompt="Invalid score - Select 1, 2, 3, 4, or N/A. CF is not defined for this sub-dimension." sqref="C3">
      <formula1>"1,2,3,4,N/A"</formula1>
    </dataValidation>
    <dataValidation type="list" allowBlank="1" showInputMessage="1" showErrorMessage="1" prompt="Invalid assessment score - Select an allowed assessment value for this sub-dimension." sqref="C7">
      <formula1>"1,2,3,4,N/A"</formula1>
    </dataValidation>
  </dataValidations>
  <printOptions/>
  <pageMargins bottom="0.75" footer="0.0" header="0.0" left="0.7" right="0.7" top="0.75"/>
  <pageSetup orientation="landscape"/>
  <drawing r:id="rId1"/>
</worksheet>
</file>

<file path=xl/worksheets/sheet10.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showGridLines="0" workbookViewId="0"/>
  </sheetViews>
  <sheetFormatPr customHeight="1" defaultColWidth="14.43" defaultRowHeight="15.0"/>
  <cols>
    <col customWidth="1" min="1" max="1" width="46.0"/>
    <col customWidth="1" min="2" max="2" width="34.0"/>
    <col customWidth="1" min="3" max="3" width="26.0"/>
    <col customWidth="1" min="4" max="6" width="8.71"/>
  </cols>
  <sheetData>
    <row r="1" ht="27.75" customHeight="1">
      <c r="A1" s="34" t="s">
        <v>208</v>
      </c>
      <c r="B1" s="6"/>
      <c r="C1" s="5"/>
    </row>
    <row r="2" ht="15.0" customHeight="1">
      <c r="A2" s="35" t="s">
        <v>211</v>
      </c>
      <c r="B2" s="35" t="s">
        <v>212</v>
      </c>
      <c r="C2" s="35" t="s">
        <v>213</v>
      </c>
    </row>
    <row r="3" ht="15.0" customHeight="1">
      <c r="A3" s="9" t="s">
        <v>214</v>
      </c>
      <c r="B3" s="36">
        <f>DIM1_Pipeline_Integrity!C9</f>
        <v>0</v>
      </c>
      <c r="C3" s="26" t="str">
        <f>DIM1_Pipeline_Integrity!D9</f>
        <v>None</v>
      </c>
    </row>
    <row r="4" ht="15.0" customHeight="1">
      <c r="A4" s="9" t="s">
        <v>222</v>
      </c>
      <c r="B4" s="36">
        <f>DIM2_AI_BOM!C9</f>
        <v>0</v>
      </c>
      <c r="C4" s="26" t="str">
        <f>DIM2_AI_BOM!D9</f>
        <v>None</v>
      </c>
    </row>
    <row r="5" ht="21.75" customHeight="1">
      <c r="A5" s="9" t="s">
        <v>232</v>
      </c>
      <c r="B5" s="36">
        <f>IF(VENDOR_INFO!B14="KQP",DIM3_KQP_HW_PROXY!C9,IF(VENDOR_INFO!B14="EDGE",DIM3_EDGE_HW!C9,DIM3_Adversarial_Robustness!C8))</f>
        <v>0</v>
      </c>
      <c r="C5" s="26" t="str">
        <f>IF(VENDOR_INFO!B14="KQP",DIM3_KQP_HW_PROXY!D9,IF(VENDOR_INFO!B14="EDGE",DIM3_EDGE_HW!D9,DIM3_Adversarial_Robustness!D8))</f>
        <v>None</v>
      </c>
    </row>
    <row r="6" ht="15.0" customHeight="1">
      <c r="A6" s="9" t="s">
        <v>240</v>
      </c>
      <c r="B6" s="36">
        <f>DIM4_Incident_Response!C7</f>
        <v>0</v>
      </c>
      <c r="C6" s="26" t="str">
        <f>DIM4_Incident_Response!D7</f>
        <v>None</v>
      </c>
    </row>
    <row r="7" ht="15.0" customHeight="1">
      <c r="A7" s="9" t="s">
        <v>241</v>
      </c>
      <c r="B7" s="36">
        <f>DIM5_FourthParty!C8</f>
        <v>0</v>
      </c>
      <c r="C7" s="26" t="str">
        <f>DIM5_FourthParty!D8</f>
        <v>None</v>
      </c>
    </row>
    <row r="8">
      <c r="A8" s="22"/>
      <c r="B8" s="22"/>
      <c r="C8" s="22"/>
    </row>
    <row r="9" ht="15.0" customHeight="1">
      <c r="A9" s="37" t="s">
        <v>242</v>
      </c>
      <c r="B9" s="38">
        <f>IFERROR(AVERAGE(B3:B7),0)</f>
        <v>0</v>
      </c>
      <c r="C9" s="39" t="str">
        <f>IF(COUNTIF(C3:C7,"CF PRESENT")&gt;0,"CF PRESENT","None")</f>
        <v>None</v>
      </c>
    </row>
    <row r="10">
      <c r="A10" s="22"/>
      <c r="B10" s="22"/>
      <c r="C10" s="22"/>
    </row>
    <row r="11" ht="15.0" customHeight="1">
      <c r="A11" s="28" t="s">
        <v>243</v>
      </c>
      <c r="B11" s="5"/>
      <c r="C11" s="22"/>
    </row>
    <row r="12" ht="43.5" customHeight="1">
      <c r="A12" s="46" t="str">
        <f>IF(OR(COUNTBLANK(VENDOR_INFO!B2:B7)&gt;0,VENDOR_INFO!B9="",VENDOR_INFO!B12="",VENDOR_INFO!B14="",AND(VENDOR_INFO!B12="Triggered Event",VENDOR_INFO!B13="")),"ASSESSMENT INCOMPLETE - required VENDOR_INFO fields are missing",IF(OR(AND(VENDOR_INFO!B3="Command Authentication Proxy Hardware",VENDOR_INFO!B14&lt;&gt;"KQP"),AND(VENDOR_INFO!B3="Edge Inference Hardware",VENDOR_INFO!B14&lt;&gt;"EDGE"),AND(OR(VENDOR_INFO!B3="Foundation Model Provider",VENDOR_INFO!B3="Orchestration Platform / MCP Server",VENDOR_INFO!B3="Tool Library / Data Integration Partner"),VENDOR_INFO!B14&lt;&gt;"Standard")),"ASSESSMENT INCOMPLETE - Dimension 3 track does not match Vendor Category",IF(COUNTIF(B3:B7,"N/A")=5,"ASSESSMENT INCOMPLETE - at least one assessment dimension must be applicable",IF(B20="YES","DISQUALIFIED - Critical Failure",IF(B21&gt;0,"DISQUALIFIED - Applicable sub-dimension scored 1",IF(B23&gt;0,"ASSESSMENT INCOMPLETE - all applicable dimensions must be scored",IF(B9&lt;2,"DISQUALIFIED - Average below 2.0",IF(B24&gt;=4,"CONDITIONALLY QUALIFIED (CQ-30) - 4+ open items; remediate within 30 days; ASCR-03 Section 4.3 CQ-30 authorization required",IF(B22&gt;0,"CONDITIONALLY QUALIFIED (CQ-30) - applicable dimension below 2.5; remediate within 30 days; ASCR-03 Section 4.3 CQ-30 authorization required",IF(B24&gt;0,"CONDITIONALLY QUALIFIED (CQ-90) - 1-3 open remediation items; remediate within 90 days",IF(B9&gt;=3,"QUALIFIED","CONDITIONALLY QUALIFIED (CQ-90) - aggregate evidence below Qualified threshold; remediate within 90 days")))))))))))</f>
        <v>ASSESSMENT INCOMPLETE - required VENDOR_INFO fields are missing</v>
      </c>
      <c r="B12" s="6"/>
      <c r="C12" s="5"/>
    </row>
    <row r="13">
      <c r="A13" s="22"/>
      <c r="B13" s="22"/>
      <c r="C13" s="22"/>
    </row>
    <row r="14" ht="15.0" customHeight="1">
      <c r="A14" s="9" t="s">
        <v>248</v>
      </c>
      <c r="B14" s="21"/>
      <c r="C14" s="22"/>
    </row>
    <row r="15" ht="15.0" customHeight="1">
      <c r="A15" s="9" t="s">
        <v>249</v>
      </c>
      <c r="B15" s="21"/>
      <c r="C15" s="22"/>
    </row>
    <row r="16" ht="15.0" customHeight="1">
      <c r="A16" s="9" t="s">
        <v>250</v>
      </c>
      <c r="B16" s="21"/>
      <c r="C16" s="22"/>
    </row>
    <row r="17">
      <c r="A17" s="22"/>
      <c r="B17" s="22"/>
      <c r="C17" s="22"/>
    </row>
    <row r="18" ht="15.0" customHeight="1">
      <c r="A18" s="47" t="s">
        <v>251</v>
      </c>
    </row>
    <row r="19" ht="21.75" customHeight="1">
      <c r="A19" s="25" t="s">
        <v>252</v>
      </c>
      <c r="B19" s="19" t="str">
        <f>IF(VENDOR_INFO!B14="KQP","KQP (Command Authentication Proxy Hardware)",IF(VENDOR_INFO!B14="EDGE","EDGE (Edge Inference Hardware)","Standard (Adversarial Robustness)"))</f>
        <v>Standard (Adversarial Robustness)</v>
      </c>
      <c r="C19" s="22"/>
    </row>
    <row r="20" ht="15.0" customHeight="1">
      <c r="A20" s="25" t="s">
        <v>254</v>
      </c>
      <c r="B20" s="19" t="str">
        <f>IF(C9="CF PRESENT","YES","NO")</f>
        <v>NO</v>
      </c>
      <c r="C20" s="22"/>
    </row>
    <row r="21" ht="15.75" customHeight="1">
      <c r="A21" s="25" t="s">
        <v>256</v>
      </c>
      <c r="B21" s="19">
        <f>IF(DIM1_Pipeline_Integrity!B10="Y",COUNTIF(DIM1_Pipeline_Integrity!C3:C8,1),0)+IF(DIM2_AI_BOM!B10="Y",COUNTIF(DIM2_AI_BOM!C3:C8,1),0)+IF(VENDOR_INFO!B14="KQP",IF(DIM3_KQP_HW_PROXY!B10="Y",COUNTIF(DIM3_KQP_HW_PROXY!C3:C7,1),0),IF(VENDOR_INFO!B14="EDGE",IF(DIM3_EDGE_HW!B10="Y",COUNTIF(DIM3_EDGE_HW!C3:C5,1),0),IF(DIM3_Adversarial_Robustness!B9="Y",COUNTIF(DIM3_Adversarial_Robustness!C3:C7,1),0)))+IF(DIM4_Incident_Response!B8="Y",COUNTIF(DIM4_Incident_Response!C3:C6,1),0)+IF(DIM5_FourthParty!B9="Y",COUNTIF(DIM5_FourthParty!C3:C7,1),0)</f>
        <v>0</v>
      </c>
      <c r="C21" s="22"/>
    </row>
    <row r="22" ht="15.75" customHeight="1">
      <c r="A22" s="25" t="s">
        <v>261</v>
      </c>
      <c r="B22" s="19">
        <f>COUNTIFS(B3:B7,"&gt;0",B3:B7,"&lt;2.5")</f>
        <v>0</v>
      </c>
      <c r="C22" s="22"/>
    </row>
    <row r="23" ht="15.75" customHeight="1">
      <c r="A23" s="25" t="s">
        <v>267</v>
      </c>
      <c r="B23" s="19">
        <f>COUNTIF(B3:B7,0)</f>
        <v>5</v>
      </c>
      <c r="C23" s="22"/>
    </row>
    <row r="24" ht="33.75" customHeight="1">
      <c r="A24" s="25" t="s">
        <v>272</v>
      </c>
      <c r="B24" s="19">
        <f>IF(DIM1_Pipeline_Integrity!B10="Y",COUNTIF(DIM1_Pipeline_Integrity!C3:C8,2),0)+IF(DIM2_AI_BOM!B10="Y",COUNTIF(DIM2_AI_BOM!C3:C8,2),0)+IF(VENDOR_INFO!B14="KQP",IF(DIM3_KQP_HW_PROXY!B10="Y",COUNTIF(DIM3_KQP_HW_PROXY!C3:C7,2),0),IF(VENDOR_INFO!B14="EDGE",IF(DIM3_EDGE_HW!B10="Y",COUNTIF(DIM3_EDGE_HW!C3:C5,2),0),IF(DIM3_Adversarial_Robustness!B9="Y",COUNTIF(DIM3_Adversarial_Robustness!C3:C7,2),0)))+IF(DIM4_Incident_Response!B8="Y",COUNTIF(DIM4_Incident_Response!C3:C6,2),0)+IF(DIM5_FourthParty!B9="Y",COUNTIF(DIM5_FourthParty!C3:C7,2),0)</f>
        <v>0</v>
      </c>
      <c r="C24" s="22"/>
    </row>
    <row r="25" ht="15.75" customHeight="1">
      <c r="A25" s="8" t="s">
        <v>277</v>
      </c>
    </row>
    <row r="26" ht="39.75" customHeight="1">
      <c r="A26" s="22" t="s">
        <v>278</v>
      </c>
    </row>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6">
    <mergeCell ref="A1:C1"/>
    <mergeCell ref="A11:B11"/>
    <mergeCell ref="A12:C12"/>
    <mergeCell ref="A18:C18"/>
    <mergeCell ref="A25:C25"/>
    <mergeCell ref="A26:C26"/>
  </mergeCells>
  <printOptions/>
  <pageMargins bottom="0.75" footer="0.0" header="0.0" left="0.7" right="0.7" top="0.75"/>
  <pageSetup orientation="landscape"/>
  <drawing r:id="rId1"/>
</worksheet>
</file>

<file path=xl/worksheets/sheet11.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showGridLines="0" workbookViewId="0"/>
  </sheetViews>
  <sheetFormatPr customHeight="1" defaultColWidth="14.43" defaultRowHeight="15.0"/>
  <cols>
    <col customWidth="1" min="1" max="1" width="36.0"/>
    <col customWidth="1" min="2" max="2" width="64.0"/>
    <col customWidth="1" min="3" max="3" width="44.0"/>
    <col customWidth="1" min="4" max="6" width="8.71"/>
  </cols>
  <sheetData>
    <row r="1" ht="37.5" customHeight="1">
      <c r="A1" s="40" t="s">
        <v>244</v>
      </c>
      <c r="B1" s="6"/>
      <c r="C1" s="5"/>
    </row>
    <row r="2" ht="15.0" customHeight="1">
      <c r="A2" s="22"/>
      <c r="B2" s="22"/>
    </row>
    <row r="3" ht="15.0" customHeight="1">
      <c r="A3" s="41" t="s">
        <v>245</v>
      </c>
      <c r="B3" s="42" t="str">
        <f>QUALIFICATION!A12</f>
        <v>ASSESSMENT INCOMPLETE - required VENDOR_INFO fields are missing</v>
      </c>
      <c r="C3" s="5"/>
    </row>
    <row r="4" ht="15.0" customHeight="1">
      <c r="A4" s="43" t="s">
        <v>246</v>
      </c>
      <c r="B4" s="44" t="str">
        <f>IF(QUALIFICATION!B3=0,"",QUALIFICATION!B3)</f>
        <v/>
      </c>
      <c r="C4" s="5"/>
    </row>
    <row r="5" ht="15.0" customHeight="1">
      <c r="A5" s="45" t="s">
        <v>247</v>
      </c>
      <c r="B5" s="44" t="str">
        <f>IF(QUALIFICATION!B4=0,"",QUALIFICATION!B4)</f>
        <v/>
      </c>
      <c r="C5" s="5"/>
    </row>
    <row r="6" ht="15.0" customHeight="1">
      <c r="A6" s="43" t="str">
        <f>"Dimension 3 Score ("&amp;IF(VENDOR_INFO!B14="KQP","KQP Hardware Capability",IF(VENDOR_INFO!B14="EDGE","Edge Hardware Assurance","Adversarial Robustness"))&amp;")"</f>
        <v>Dimension 3 Score (Adversarial Robustness)</v>
      </c>
      <c r="B6" s="44" t="str">
        <f>IF(QUALIFICATION!B5=0,"",QUALIFICATION!B5)</f>
        <v/>
      </c>
      <c r="C6" s="5"/>
    </row>
    <row r="7" ht="15.0" customHeight="1">
      <c r="A7" s="45" t="s">
        <v>253</v>
      </c>
      <c r="B7" s="44" t="str">
        <f>IF(QUALIFICATION!B6=0,"",QUALIFICATION!B6)</f>
        <v/>
      </c>
      <c r="C7" s="5"/>
    </row>
    <row r="8" ht="15.0" customHeight="1">
      <c r="A8" s="43" t="s">
        <v>255</v>
      </c>
      <c r="B8" s="44" t="str">
        <f>IF(QUALIFICATION!B7=0,"",QUALIFICATION!B7)</f>
        <v/>
      </c>
      <c r="C8" s="5"/>
    </row>
    <row r="9" ht="21.0" customHeight="1">
      <c r="A9" s="45" t="s">
        <v>257</v>
      </c>
      <c r="B9" s="48" t="str">
        <f>IF(ISNUMBER(SEARCH("ASSESSMENT INCOMPLETE",QUALIFICATION!A12)),"",QUALIFICATION!B24)</f>
        <v/>
      </c>
      <c r="C9" s="5"/>
    </row>
    <row r="10" ht="15.0" customHeight="1">
      <c r="A10" s="15"/>
      <c r="B10" s="15"/>
    </row>
    <row r="11" ht="24.0" customHeight="1">
      <c r="A11" s="49" t="s">
        <v>258</v>
      </c>
      <c r="B11" s="50" t="s">
        <v>259</v>
      </c>
      <c r="C11" s="51"/>
    </row>
    <row r="12" ht="42.0" customHeight="1">
      <c r="A12" s="52" t="s">
        <v>260</v>
      </c>
      <c r="B12" s="52" t="s">
        <v>262</v>
      </c>
    </row>
    <row r="13" ht="42.0" customHeight="1">
      <c r="A13" s="45" t="s">
        <v>263</v>
      </c>
      <c r="B13" s="44" t="s">
        <v>264</v>
      </c>
      <c r="C13" s="5"/>
    </row>
    <row r="14" ht="42.0" customHeight="1">
      <c r="A14" s="43" t="s">
        <v>265</v>
      </c>
      <c r="B14" s="44" t="s">
        <v>266</v>
      </c>
      <c r="C14" s="5"/>
    </row>
    <row r="15" ht="42.0" customHeight="1">
      <c r="A15" s="45" t="s">
        <v>268</v>
      </c>
      <c r="B15" s="44" t="s">
        <v>269</v>
      </c>
      <c r="C15" s="5"/>
    </row>
    <row r="16" ht="42.0" customHeight="1">
      <c r="A16" s="43" t="s">
        <v>270</v>
      </c>
      <c r="B16" s="48" t="s">
        <v>271</v>
      </c>
      <c r="C16" s="5"/>
    </row>
    <row r="17" ht="42.0" customHeight="1">
      <c r="A17" s="45" t="s">
        <v>273</v>
      </c>
      <c r="B17" s="48" t="s">
        <v>274</v>
      </c>
      <c r="C17" s="5"/>
    </row>
    <row r="18" ht="15.0" customHeight="1">
      <c r="A18" s="15"/>
      <c r="B18" s="15"/>
    </row>
    <row r="19" ht="57.75" customHeight="1">
      <c r="A19" s="53" t="s">
        <v>275</v>
      </c>
      <c r="B19" s="54" t="s">
        <v>276</v>
      </c>
      <c r="C19" s="5"/>
    </row>
    <row r="21" ht="15.75" customHeight="1"/>
    <row r="22" ht="15.75" customHeight="1"/>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14">
    <mergeCell ref="B9:C9"/>
    <mergeCell ref="B13:C13"/>
    <mergeCell ref="B14:C14"/>
    <mergeCell ref="B15:C15"/>
    <mergeCell ref="B16:C16"/>
    <mergeCell ref="B17:C17"/>
    <mergeCell ref="B19:C19"/>
    <mergeCell ref="A1:C1"/>
    <mergeCell ref="B3:C3"/>
    <mergeCell ref="B4:C4"/>
    <mergeCell ref="B5:C5"/>
    <mergeCell ref="B6:C6"/>
    <mergeCell ref="B7:C7"/>
    <mergeCell ref="B8:C8"/>
  </mergeCells>
  <printOptions/>
  <pageMargins bottom="0.75" footer="0.0" header="0.0" left="0.7" right="0.7" top="0.75"/>
  <pageSetup orientation="landscape"/>
  <drawing r:id="rId1"/>
</worksheet>
</file>

<file path=xl/worksheets/sheet12.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showGridLines="0" workbookViewId="0"/>
  </sheetViews>
  <sheetFormatPr customHeight="1" defaultColWidth="14.43" defaultRowHeight="15.0"/>
  <cols>
    <col customWidth="1" min="1" max="1" width="34.0"/>
    <col customWidth="1" min="2" max="2" width="60.0"/>
    <col customWidth="1" min="3" max="6" width="8.71"/>
  </cols>
  <sheetData>
    <row r="1" ht="26.25" customHeight="1">
      <c r="A1" s="34" t="s">
        <v>279</v>
      </c>
      <c r="B1" s="5"/>
    </row>
    <row r="2" ht="15.0" customHeight="1">
      <c r="A2" s="9" t="s">
        <v>5</v>
      </c>
      <c r="B2" s="55" t="str">
        <f>IF(VENDOR_INFO!B2="","",VENDOR_INFO!B2)</f>
        <v/>
      </c>
    </row>
    <row r="3" ht="15.0" customHeight="1">
      <c r="A3" s="9" t="s">
        <v>280</v>
      </c>
      <c r="B3" s="55" t="str">
        <f>IF(VENDOR_INFO!B4="","",VENDOR_INFO!B4)</f>
        <v/>
      </c>
    </row>
    <row r="4" ht="15.0" customHeight="1">
      <c r="A4" s="9" t="s">
        <v>282</v>
      </c>
      <c r="B4" s="55" t="str">
        <f>IF(VENDOR_INFO!B5="","",VENDOR_INFO!B5)</f>
        <v/>
      </c>
    </row>
    <row r="5" ht="15.0" customHeight="1">
      <c r="A5" s="9" t="s">
        <v>30</v>
      </c>
      <c r="B5" s="55" t="str">
        <f>IF(VENDOR_INFO!B6="","",VENDOR_INFO!B6)</f>
        <v/>
      </c>
    </row>
    <row r="6" ht="15.0" customHeight="1">
      <c r="A6" s="9" t="s">
        <v>290</v>
      </c>
      <c r="B6" s="55" t="str">
        <f>IF(VENDOR_INFO!B7="","",VENDOR_INFO!B7)</f>
        <v/>
      </c>
    </row>
    <row r="7" ht="15.0" customHeight="1">
      <c r="A7" s="9" t="s">
        <v>293</v>
      </c>
      <c r="B7" s="55" t="str">
        <f>QUALIFICATION!A12</f>
        <v>ASSESSMENT INCOMPLETE - required VENDOR_INFO fields are missing</v>
      </c>
    </row>
    <row r="8" ht="15.0" customHeight="1">
      <c r="A8" s="9" t="s">
        <v>299</v>
      </c>
      <c r="B8" s="58" t="str">
        <f>IF(QUALIFICATION!B3=0,"",QUALIFICATION!B3)</f>
        <v/>
      </c>
    </row>
    <row r="9" ht="15.0" customHeight="1">
      <c r="A9" s="9" t="s">
        <v>305</v>
      </c>
      <c r="B9" s="58" t="str">
        <f>IF(QUALIFICATION!B4=0,"",QUALIFICATION!B4)</f>
        <v/>
      </c>
    </row>
    <row r="10" ht="15.0" customHeight="1">
      <c r="A10" s="9" t="s">
        <v>306</v>
      </c>
      <c r="B10" s="58" t="str">
        <f>IF(QUALIFICATION!B5=0,"",QUALIFICATION!B5)</f>
        <v/>
      </c>
    </row>
    <row r="11" ht="15.0" customHeight="1">
      <c r="A11" s="9" t="s">
        <v>307</v>
      </c>
      <c r="B11" s="58" t="str">
        <f>IF(QUALIFICATION!B6=0,"",QUALIFICATION!B6)</f>
        <v/>
      </c>
    </row>
    <row r="12" ht="15.0" customHeight="1">
      <c r="A12" s="9" t="s">
        <v>308</v>
      </c>
      <c r="B12" s="58" t="str">
        <f>IF(QUALIFICATION!B7=0,"",QUALIFICATION!B7)</f>
        <v/>
      </c>
    </row>
    <row r="13" ht="15.0" customHeight="1">
      <c r="A13" s="9" t="s">
        <v>213</v>
      </c>
      <c r="B13" s="55" t="str">
        <f>IF(ISNUMBER(SEARCH("ASSESSMENT INCOMPLETE",QUALIFICATION!A12)),"",QUALIFICATION!C9)</f>
        <v/>
      </c>
    </row>
    <row r="14" ht="15.0" customHeight="1">
      <c r="A14" s="9" t="s">
        <v>309</v>
      </c>
      <c r="B14" s="55" t="str">
        <f>IF(ISNUMBER(SEARCH("ASSESSMENT INCOMPLETE",QUALIFICATION!A12)),"",QUALIFICATION!B24)</f>
        <v/>
      </c>
    </row>
    <row r="15" ht="15.0" customHeight="1">
      <c r="A15" s="9" t="s">
        <v>310</v>
      </c>
      <c r="B15" s="11" t="s">
        <v>311</v>
      </c>
    </row>
    <row r="16" ht="15.0" customHeight="1">
      <c r="A16" s="9" t="s">
        <v>312</v>
      </c>
      <c r="B16" s="55" t="str">
        <f>IF(QUALIFICATION!B16="","",QUALIFICATION!B16)</f>
        <v/>
      </c>
    </row>
    <row r="17" ht="15.0" customHeight="1">
      <c r="A17" s="9" t="s">
        <v>313</v>
      </c>
      <c r="B17" s="55" t="str">
        <f>IF(QUALIFICATION!B15="","",QUALIFICATION!B15)</f>
        <v/>
      </c>
    </row>
    <row r="18" ht="33.75" customHeight="1">
      <c r="A18" s="9" t="s">
        <v>314</v>
      </c>
      <c r="B18" s="11" t="s">
        <v>315</v>
      </c>
    </row>
    <row r="19" ht="15.0" customHeight="1">
      <c r="A19" s="9" t="s">
        <v>316</v>
      </c>
      <c r="B19" s="11" t="s">
        <v>317</v>
      </c>
    </row>
    <row r="20" ht="15.0" customHeight="1">
      <c r="A20" s="9" t="s">
        <v>318</v>
      </c>
      <c r="B20" s="11" t="s">
        <v>319</v>
      </c>
    </row>
    <row r="21" ht="19.5" customHeight="1">
      <c r="A21" s="59" t="s">
        <v>320</v>
      </c>
      <c r="B21" s="60" t="s">
        <v>321</v>
      </c>
    </row>
    <row r="22" ht="75.0" customHeight="1">
      <c r="A22" s="61" t="s">
        <v>322</v>
      </c>
    </row>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2">
    <mergeCell ref="A1:B1"/>
    <mergeCell ref="A22:B22"/>
  </mergeCells>
  <printOptions/>
  <pageMargins bottom="0.75" footer="0.0" header="0.0" left="0.7" right="0.7" top="0.75"/>
  <pageSetup orientation="landscape"/>
  <drawing r:id="rId1"/>
</worksheet>
</file>

<file path=xl/worksheets/sheet13.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4.43" defaultRowHeight="15.0"/>
  <cols>
    <col customWidth="1" min="1" max="1" width="110.0"/>
    <col customWidth="1" min="2" max="6" width="8.71"/>
  </cols>
  <sheetData>
    <row r="1" ht="15.0" customHeight="1">
      <c r="A1" s="56" t="s">
        <v>281</v>
      </c>
    </row>
    <row r="2" ht="15.0" customHeight="1">
      <c r="A2" s="57"/>
    </row>
    <row r="3" ht="15.0" customHeight="1">
      <c r="A3" s="57" t="s">
        <v>283</v>
      </c>
    </row>
    <row r="4" ht="15.0" customHeight="1">
      <c r="A4" s="57" t="s">
        <v>284</v>
      </c>
    </row>
    <row r="5" ht="15.0" customHeight="1">
      <c r="A5" s="57" t="s">
        <v>285</v>
      </c>
    </row>
    <row r="6" ht="15.0" customHeight="1">
      <c r="A6" s="19" t="s">
        <v>286</v>
      </c>
    </row>
    <row r="7" ht="15.0" customHeight="1">
      <c r="A7" s="57" t="s">
        <v>287</v>
      </c>
    </row>
    <row r="8" ht="15.0" customHeight="1">
      <c r="A8" s="57" t="s">
        <v>288</v>
      </c>
    </row>
    <row r="9" ht="15.0" customHeight="1">
      <c r="A9" s="57" t="s">
        <v>289</v>
      </c>
    </row>
    <row r="10" ht="15.0" customHeight="1">
      <c r="A10" s="57"/>
    </row>
    <row r="11" ht="15.0" customHeight="1">
      <c r="A11" s="19" t="s">
        <v>291</v>
      </c>
    </row>
    <row r="12" ht="15.0" customHeight="1">
      <c r="A12" s="57" t="s">
        <v>292</v>
      </c>
    </row>
    <row r="13" ht="15.0" customHeight="1">
      <c r="A13" s="57" t="s">
        <v>294</v>
      </c>
    </row>
    <row r="14" ht="15.0" customHeight="1">
      <c r="A14" s="57" t="s">
        <v>295</v>
      </c>
    </row>
    <row r="15" ht="15.0" customHeight="1">
      <c r="A15" s="57" t="s">
        <v>296</v>
      </c>
    </row>
    <row r="16" ht="15.0" customHeight="1">
      <c r="A16" s="57" t="s">
        <v>297</v>
      </c>
    </row>
    <row r="17" ht="15.0" customHeight="1">
      <c r="A17" s="57" t="s">
        <v>298</v>
      </c>
    </row>
    <row r="18" ht="15.0" customHeight="1">
      <c r="A18" s="19"/>
    </row>
    <row r="19" ht="15.0" customHeight="1">
      <c r="A19" s="57" t="s">
        <v>300</v>
      </c>
    </row>
    <row r="20" ht="15.0" customHeight="1">
      <c r="A20" s="57" t="s">
        <v>301</v>
      </c>
    </row>
    <row r="21" ht="15.0" customHeight="1">
      <c r="A21" s="57" t="s">
        <v>302</v>
      </c>
    </row>
    <row r="22" ht="15.0" customHeight="1">
      <c r="A22" s="57" t="s">
        <v>303</v>
      </c>
    </row>
    <row r="23" ht="15.0" customHeight="1">
      <c r="A23" s="57" t="s">
        <v>304</v>
      </c>
    </row>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printOptions/>
  <pageMargins bottom="0.75" footer="0.0" header="0.0" left="0.7" right="0.7" top="0.75"/>
  <pageSetup orientation="landscape"/>
  <drawing r:id="rId1"/>
</worksheet>
</file>

<file path=xl/worksheets/sheet14.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4.43" defaultRowHeight="15.0"/>
  <cols>
    <col customWidth="1" min="1" max="1" width="30.0"/>
    <col customWidth="1" min="2" max="3" width="34.0"/>
    <col customWidth="1" min="4" max="4" width="52.0"/>
    <col customWidth="1" min="5" max="5" width="32.0"/>
    <col customWidth="1" min="6" max="6" width="8.71"/>
  </cols>
  <sheetData>
    <row r="1" ht="15.0" customHeight="1">
      <c r="A1" s="56" t="s">
        <v>323</v>
      </c>
    </row>
    <row r="2" ht="36.0" customHeight="1">
      <c r="A2" s="62" t="s">
        <v>324</v>
      </c>
    </row>
    <row r="3" ht="9.75" customHeight="1">
      <c r="A3" s="63"/>
      <c r="B3" s="63"/>
      <c r="C3" s="63"/>
      <c r="D3" s="63"/>
      <c r="E3" s="63"/>
    </row>
    <row r="4" ht="24.0" customHeight="1">
      <c r="A4" s="64" t="s">
        <v>326</v>
      </c>
    </row>
    <row r="5" ht="31.5" customHeight="1">
      <c r="A5" s="66" t="s">
        <v>327</v>
      </c>
      <c r="B5" s="66" t="s">
        <v>328</v>
      </c>
      <c r="C5" s="66" t="s">
        <v>329</v>
      </c>
      <c r="D5" s="66" t="s">
        <v>330</v>
      </c>
      <c r="E5" s="66" t="s">
        <v>331</v>
      </c>
    </row>
    <row r="6" ht="31.5" customHeight="1">
      <c r="A6" s="67" t="s">
        <v>332</v>
      </c>
      <c r="B6" s="67" t="s">
        <v>333</v>
      </c>
      <c r="C6" s="67" t="s">
        <v>335</v>
      </c>
      <c r="D6" s="67" t="s">
        <v>336</v>
      </c>
      <c r="E6" s="67" t="s">
        <v>337</v>
      </c>
    </row>
    <row r="7" ht="31.5" customHeight="1">
      <c r="A7" s="67" t="s">
        <v>339</v>
      </c>
      <c r="B7" s="67" t="s">
        <v>333</v>
      </c>
      <c r="C7" s="67" t="s">
        <v>335</v>
      </c>
      <c r="D7" s="67" t="s">
        <v>336</v>
      </c>
      <c r="E7" s="67" t="s">
        <v>337</v>
      </c>
    </row>
    <row r="8" ht="31.5" customHeight="1">
      <c r="A8" s="67" t="s">
        <v>340</v>
      </c>
      <c r="B8" s="67" t="s">
        <v>333</v>
      </c>
      <c r="C8" s="67" t="s">
        <v>335</v>
      </c>
      <c r="D8" s="67" t="s">
        <v>336</v>
      </c>
      <c r="E8" s="67" t="s">
        <v>337</v>
      </c>
    </row>
    <row r="9" ht="31.5" customHeight="1">
      <c r="A9" s="67" t="s">
        <v>341</v>
      </c>
      <c r="B9" s="67" t="s">
        <v>333</v>
      </c>
      <c r="C9" s="67" t="s">
        <v>335</v>
      </c>
      <c r="D9" s="67" t="s">
        <v>336</v>
      </c>
      <c r="E9" s="67" t="s">
        <v>337</v>
      </c>
    </row>
    <row r="10" ht="31.5" customHeight="1">
      <c r="A10" s="67" t="s">
        <v>342</v>
      </c>
      <c r="B10" s="67" t="s">
        <v>333</v>
      </c>
      <c r="C10" s="67" t="s">
        <v>335</v>
      </c>
      <c r="D10" s="67" t="s">
        <v>336</v>
      </c>
      <c r="E10" s="67" t="s">
        <v>337</v>
      </c>
    </row>
    <row r="11" ht="31.5" customHeight="1">
      <c r="A11" s="67" t="s">
        <v>343</v>
      </c>
      <c r="B11" s="67" t="s">
        <v>333</v>
      </c>
      <c r="C11" s="67" t="s">
        <v>335</v>
      </c>
      <c r="D11" s="67" t="s">
        <v>336</v>
      </c>
      <c r="E11" s="67" t="s">
        <v>337</v>
      </c>
    </row>
    <row r="12" ht="33.75" customHeight="1">
      <c r="A12" s="67" t="s">
        <v>344</v>
      </c>
      <c r="B12" s="67" t="s">
        <v>333</v>
      </c>
      <c r="C12" s="67" t="s">
        <v>335</v>
      </c>
      <c r="D12" s="67" t="s">
        <v>336</v>
      </c>
      <c r="E12" s="67" t="s">
        <v>337</v>
      </c>
    </row>
    <row r="13" ht="42.0" customHeight="1">
      <c r="A13" s="68" t="s">
        <v>345</v>
      </c>
      <c r="B13" s="69"/>
      <c r="C13" s="69"/>
      <c r="D13" s="69"/>
      <c r="E13" s="70"/>
    </row>
    <row r="14" ht="24.0" customHeight="1">
      <c r="A14" s="66" t="s">
        <v>351</v>
      </c>
      <c r="B14" s="66"/>
      <c r="C14" s="66"/>
      <c r="D14" s="66"/>
      <c r="E14" s="64"/>
    </row>
    <row r="15" ht="24.0" customHeight="1">
      <c r="A15" s="66" t="s">
        <v>355</v>
      </c>
      <c r="B15" s="66" t="s">
        <v>357</v>
      </c>
      <c r="C15" s="66" t="s">
        <v>359</v>
      </c>
      <c r="D15" s="66" t="s">
        <v>360</v>
      </c>
      <c r="E15" s="66"/>
    </row>
    <row r="16" ht="43.5" customHeight="1">
      <c r="A16" s="67" t="s">
        <v>361</v>
      </c>
      <c r="B16" s="67" t="s">
        <v>363</v>
      </c>
      <c r="C16" s="67" t="s">
        <v>365</v>
      </c>
      <c r="D16" s="67" t="s">
        <v>366</v>
      </c>
      <c r="E16" s="67"/>
    </row>
    <row r="17" ht="43.5" customHeight="1">
      <c r="A17" s="67" t="s">
        <v>368</v>
      </c>
      <c r="B17" s="67" t="s">
        <v>369</v>
      </c>
      <c r="C17" s="67" t="s">
        <v>370</v>
      </c>
      <c r="D17" s="67" t="s">
        <v>371</v>
      </c>
      <c r="E17" s="67"/>
    </row>
    <row r="18" ht="49.5" customHeight="1">
      <c r="A18" s="67" t="s">
        <v>372</v>
      </c>
      <c r="B18" s="67" t="s">
        <v>373</v>
      </c>
      <c r="C18" s="67" t="s">
        <v>365</v>
      </c>
      <c r="D18" s="67" t="s">
        <v>374</v>
      </c>
      <c r="E18" s="67"/>
    </row>
    <row r="19" ht="9.75" customHeight="1">
      <c r="A19" s="62"/>
    </row>
    <row r="20" ht="24.0" customHeight="1">
      <c r="A20" s="66" t="s">
        <v>375</v>
      </c>
      <c r="B20" s="71"/>
      <c r="C20" s="69"/>
      <c r="D20" s="69"/>
      <c r="E20" s="70"/>
    </row>
    <row r="21" ht="24.0" customHeight="1">
      <c r="A21" s="66" t="s">
        <v>376</v>
      </c>
      <c r="B21" s="71" t="s">
        <v>377</v>
      </c>
      <c r="C21" s="69"/>
      <c r="D21" s="69"/>
      <c r="E21" s="70"/>
    </row>
    <row r="22" ht="42.0" customHeight="1">
      <c r="A22" s="72" t="s">
        <v>378</v>
      </c>
      <c r="B22" s="73" t="s">
        <v>379</v>
      </c>
      <c r="C22" s="69"/>
      <c r="D22" s="69"/>
      <c r="E22" s="70"/>
    </row>
    <row r="23" ht="48.0" customHeight="1">
      <c r="A23" s="72" t="s">
        <v>380</v>
      </c>
      <c r="B23" s="73" t="s">
        <v>381</v>
      </c>
      <c r="C23" s="69"/>
      <c r="D23" s="69"/>
      <c r="E23" s="70"/>
    </row>
    <row r="24" ht="33.75" customHeight="1">
      <c r="A24" s="72" t="s">
        <v>382</v>
      </c>
      <c r="B24" s="73" t="s">
        <v>383</v>
      </c>
      <c r="C24" s="69"/>
      <c r="D24" s="69"/>
      <c r="E24" s="70"/>
    </row>
    <row r="25" ht="42.0" customHeight="1">
      <c r="A25" s="72" t="s">
        <v>384</v>
      </c>
      <c r="B25" s="67" t="s">
        <v>385</v>
      </c>
      <c r="C25" s="67"/>
      <c r="D25" s="67"/>
      <c r="E25" s="67"/>
    </row>
    <row r="26" ht="9.75" customHeight="1">
      <c r="A26" s="62"/>
    </row>
    <row r="27" ht="36.0" customHeight="1">
      <c r="A27" s="66" t="s">
        <v>386</v>
      </c>
      <c r="B27" s="71"/>
      <c r="C27" s="69"/>
      <c r="D27" s="69"/>
      <c r="E27" s="70"/>
    </row>
    <row r="28" ht="24.0" customHeight="1">
      <c r="A28" s="66" t="s">
        <v>387</v>
      </c>
      <c r="B28" s="71" t="s">
        <v>388</v>
      </c>
      <c r="C28" s="69"/>
      <c r="D28" s="69"/>
      <c r="E28" s="70"/>
    </row>
    <row r="29" ht="27.75" customHeight="1">
      <c r="A29" s="72" t="s">
        <v>389</v>
      </c>
      <c r="B29" s="73" t="s">
        <v>390</v>
      </c>
      <c r="C29" s="69"/>
      <c r="D29" s="69"/>
      <c r="E29" s="70"/>
    </row>
    <row r="30" ht="30.0" customHeight="1">
      <c r="A30" s="72" t="s">
        <v>391</v>
      </c>
      <c r="B30" s="73" t="s">
        <v>392</v>
      </c>
      <c r="C30" s="69"/>
      <c r="D30" s="69"/>
      <c r="E30" s="70"/>
    </row>
    <row r="31" ht="36.0" customHeight="1">
      <c r="A31" s="72" t="s">
        <v>393</v>
      </c>
      <c r="B31" s="73" t="s">
        <v>394</v>
      </c>
      <c r="C31" s="69"/>
      <c r="D31" s="69"/>
      <c r="E31" s="70"/>
    </row>
    <row r="32" ht="49.5" customHeight="1">
      <c r="A32" s="72" t="s">
        <v>395</v>
      </c>
      <c r="B32" s="73" t="s">
        <v>396</v>
      </c>
      <c r="C32" s="69"/>
      <c r="D32" s="69"/>
      <c r="E32" s="70"/>
    </row>
    <row r="33" ht="78.0" customHeight="1">
      <c r="A33" s="72" t="s">
        <v>397</v>
      </c>
      <c r="B33" s="73" t="s">
        <v>398</v>
      </c>
      <c r="C33" s="69"/>
      <c r="D33" s="69"/>
      <c r="E33" s="70"/>
    </row>
    <row r="34" ht="78.0" customHeight="1">
      <c r="A34" s="74" t="s">
        <v>399</v>
      </c>
      <c r="B34" s="69"/>
      <c r="C34" s="69"/>
      <c r="D34" s="69"/>
      <c r="E34" s="70"/>
    </row>
    <row r="35" ht="42.0" customHeight="1">
      <c r="A35" s="75" t="s">
        <v>400</v>
      </c>
      <c r="B35" s="69"/>
      <c r="C35" s="69"/>
      <c r="D35" s="69"/>
      <c r="E35" s="70"/>
    </row>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20">
    <mergeCell ref="A1:E1"/>
    <mergeCell ref="A2:E2"/>
    <mergeCell ref="A4:E4"/>
    <mergeCell ref="A13:E13"/>
    <mergeCell ref="A19:E19"/>
    <mergeCell ref="B20:E20"/>
    <mergeCell ref="B21:E21"/>
    <mergeCell ref="B30:E30"/>
    <mergeCell ref="B31:E31"/>
    <mergeCell ref="B32:E32"/>
    <mergeCell ref="B33:E33"/>
    <mergeCell ref="A34:E34"/>
    <mergeCell ref="A35:E35"/>
    <mergeCell ref="B22:E22"/>
    <mergeCell ref="B23:E23"/>
    <mergeCell ref="B24:E24"/>
    <mergeCell ref="A26:E26"/>
    <mergeCell ref="B27:E27"/>
    <mergeCell ref="B28:E28"/>
    <mergeCell ref="B29:E29"/>
  </mergeCells>
  <printOptions/>
  <pageMargins bottom="0.75" footer="0.0" header="0.0" left="0.7" right="0.7" top="0.75"/>
  <pageSetup orientation="landscape"/>
  <drawing r:id="rId1"/>
</worksheet>
</file>

<file path=xl/worksheets/sheet15.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4.43" defaultRowHeight="15.0"/>
  <cols>
    <col customWidth="1" min="1" max="1" width="14.0"/>
    <col customWidth="1" min="2" max="2" width="54.0"/>
    <col customWidth="1" min="3" max="3" width="13.0"/>
    <col customWidth="1" min="4" max="4" width="18.0"/>
    <col customWidth="1" min="5" max="5" width="30.0"/>
    <col customWidth="1" min="6" max="6" width="34.0"/>
    <col customWidth="1" min="7" max="8" width="42.0"/>
    <col customWidth="1" min="9" max="26" width="8.71"/>
  </cols>
  <sheetData>
    <row r="1" ht="66.0" customHeight="1">
      <c r="A1" s="8" t="s">
        <v>325</v>
      </c>
    </row>
    <row r="2" ht="15.0" customHeight="1">
      <c r="A2" s="65" t="s">
        <v>6</v>
      </c>
      <c r="B2" s="65" t="s">
        <v>14</v>
      </c>
      <c r="C2" s="65" t="s">
        <v>17</v>
      </c>
      <c r="D2" s="65" t="s">
        <v>20</v>
      </c>
      <c r="E2" s="65" t="s">
        <v>22</v>
      </c>
      <c r="F2" s="65" t="s">
        <v>24</v>
      </c>
      <c r="G2" s="65" t="s">
        <v>28</v>
      </c>
      <c r="H2" s="65" t="s">
        <v>33</v>
      </c>
    </row>
    <row r="3" ht="39.0" customHeight="1">
      <c r="A3" s="22" t="s">
        <v>334</v>
      </c>
      <c r="B3" s="22" t="s">
        <v>338</v>
      </c>
      <c r="C3" s="22"/>
      <c r="D3" s="22" t="str">
        <f t="shared" ref="D3:D5" si="1">IF(C3="CF","YES - AUTO DISQUALIFIED","")</f>
        <v/>
      </c>
      <c r="E3" s="22"/>
      <c r="F3" s="22" t="s">
        <v>346</v>
      </c>
      <c r="G3" s="22" t="s">
        <v>347</v>
      </c>
      <c r="H3" s="22" t="s">
        <v>348</v>
      </c>
    </row>
    <row r="4" ht="39.0" customHeight="1">
      <c r="A4" s="22" t="s">
        <v>349</v>
      </c>
      <c r="B4" s="22" t="s">
        <v>350</v>
      </c>
      <c r="C4" s="22"/>
      <c r="D4" s="22" t="str">
        <f t="shared" si="1"/>
        <v/>
      </c>
      <c r="E4" s="22"/>
      <c r="F4" s="22" t="s">
        <v>352</v>
      </c>
      <c r="G4" s="22" t="s">
        <v>353</v>
      </c>
      <c r="H4" s="22" t="s">
        <v>354</v>
      </c>
    </row>
    <row r="5" ht="39.0" customHeight="1">
      <c r="A5" s="22" t="s">
        <v>356</v>
      </c>
      <c r="B5" s="22" t="s">
        <v>358</v>
      </c>
      <c r="C5" s="22"/>
      <c r="D5" s="22" t="str">
        <f t="shared" si="1"/>
        <v/>
      </c>
      <c r="E5" s="22"/>
      <c r="F5" s="22" t="s">
        <v>362</v>
      </c>
      <c r="G5" s="22" t="s">
        <v>364</v>
      </c>
      <c r="H5" s="22" t="s">
        <v>367</v>
      </c>
    </row>
    <row r="6" ht="15.0" customHeight="1">
      <c r="A6" s="22"/>
      <c r="B6" s="22"/>
      <c r="C6" s="22"/>
      <c r="D6" s="22"/>
      <c r="E6" s="22"/>
      <c r="F6" s="22"/>
      <c r="G6" s="22"/>
      <c r="H6" s="22"/>
    </row>
    <row r="7" ht="15.0" customHeight="1">
      <c r="A7" s="22"/>
      <c r="B7" s="22"/>
      <c r="C7" s="22"/>
      <c r="D7" s="22"/>
      <c r="E7" s="22"/>
      <c r="F7" s="22"/>
      <c r="G7" s="22"/>
      <c r="H7" s="22"/>
    </row>
    <row r="8" ht="15.0" customHeight="1">
      <c r="A8" s="22"/>
      <c r="B8" s="22"/>
      <c r="C8" s="22"/>
      <c r="D8" s="22"/>
      <c r="E8" s="22"/>
      <c r="F8" s="22"/>
      <c r="G8" s="22"/>
      <c r="H8" s="22"/>
    </row>
    <row r="9" ht="26.25" customHeight="1">
      <c r="A9" s="22" t="s">
        <v>104</v>
      </c>
      <c r="C9" s="33">
        <f>IF(B10="N",IF(F10="",0,"N/A"),IF(OR(COUNTA(C3:C5)&lt;ROWS(C3:C5),COUNTIFS(C3:C5,"N/A",E3:E5,"=")&gt;0),0,IFERROR(AVERAGEIF(C3:C5,"&gt;=1",C3:C5),0)))</f>
        <v>0</v>
      </c>
      <c r="D9" s="22" t="str">
        <f>IF(B10="N","N/A",IF(COUNTIF(C3:C5,"CF")&gt;0,"CF PRESENT","None"))</f>
        <v>None</v>
      </c>
      <c r="E9" s="22"/>
      <c r="F9" s="22"/>
      <c r="G9" s="22"/>
      <c r="H9" s="22"/>
    </row>
    <row r="10" ht="26.25" customHeight="1">
      <c r="A10" s="22" t="s">
        <v>105</v>
      </c>
      <c r="B10" s="22" t="s">
        <v>106</v>
      </c>
      <c r="C10" s="22"/>
      <c r="D10" s="22"/>
      <c r="E10" s="22" t="s">
        <v>107</v>
      </c>
      <c r="F10" s="22"/>
      <c r="G10" s="22"/>
      <c r="H10" s="22"/>
    </row>
    <row r="21" ht="15.75" customHeight="1"/>
    <row r="22" ht="15.75" customHeight="1"/>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2">
    <mergeCell ref="A1:H1"/>
    <mergeCell ref="A9:B9"/>
  </mergeCells>
  <dataValidations>
    <dataValidation type="list" allowBlank="1" sqref="B10">
      <formula1>"Y,N"</formula1>
    </dataValidation>
    <dataValidation type="list" allowBlank="1" showInputMessage="1" showErrorMessage="1" prompt="Invalid assessment score - Select an allowed assessment value for this sub-dimension." sqref="C3:C5">
      <formula1>"1,2,3,4,N/A,CF"</formula1>
    </dataValidation>
  </dataValidations>
  <printOptions/>
  <pageMargins bottom="0.75" footer="0.0" header="0.0" left="0.7" right="0.7" top="0.75"/>
  <pageSetup orientation="landscape"/>
  <drawing r:id="rId1"/>
</worksheet>
</file>